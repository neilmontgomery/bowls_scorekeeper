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ocx" ContentType="application/vnd.openxmlformats-officedocument.wordprocessingml.document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il\Dropbox\Personal\bowls\"/>
    </mc:Choice>
  </mc:AlternateContent>
  <bookViews>
    <workbookView xWindow="0" yWindow="0" windowWidth="23040" windowHeight="9120"/>
  </bookViews>
  <sheets>
    <sheet name="Instructions" sheetId="2" r:id="rId1"/>
    <sheet name="Wins-For-Plus-Against" sheetId="1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7" i="1" l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36" i="1"/>
  <c r="H241" i="1"/>
  <c r="H242" i="1"/>
  <c r="H249" i="1"/>
  <c r="H250" i="1"/>
  <c r="H257" i="1"/>
  <c r="H258" i="1"/>
  <c r="H240" i="1"/>
  <c r="H248" i="1"/>
  <c r="H256" i="1"/>
  <c r="H239" i="1"/>
  <c r="H247" i="1"/>
  <c r="H255" i="1"/>
  <c r="H238" i="1"/>
  <c r="H246" i="1"/>
  <c r="H254" i="1"/>
  <c r="H237" i="1"/>
  <c r="H245" i="1"/>
  <c r="H253" i="1"/>
  <c r="H236" i="1"/>
  <c r="H244" i="1"/>
  <c r="H252" i="1"/>
  <c r="H235" i="1"/>
  <c r="H243" i="1"/>
  <c r="H251" i="1"/>
  <c r="R35" i="1" l="1"/>
  <c r="M35" i="1"/>
  <c r="H35" i="1"/>
  <c r="K4" i="1"/>
  <c r="X11" i="1"/>
  <c r="P5" i="1"/>
  <c r="P7" i="1"/>
  <c r="P6" i="1"/>
  <c r="P10" i="1"/>
  <c r="P11" i="1"/>
  <c r="P3" i="1"/>
  <c r="P8" i="1"/>
  <c r="P4" i="1"/>
  <c r="P9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12" i="1"/>
  <c r="K5" i="1"/>
  <c r="K7" i="1"/>
  <c r="K6" i="1"/>
  <c r="K10" i="1"/>
  <c r="K11" i="1"/>
  <c r="K3" i="1"/>
  <c r="K8" i="1"/>
  <c r="K9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12" i="1"/>
  <c r="X4" i="1"/>
  <c r="X5" i="1"/>
  <c r="X6" i="1"/>
  <c r="X7" i="1"/>
  <c r="X8" i="1"/>
  <c r="X9" i="1"/>
  <c r="X10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" i="1"/>
  <c r="B13" i="1" l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C8" i="1" l="1"/>
  <c r="C7" i="1"/>
  <c r="C5" i="1"/>
  <c r="C3" i="1"/>
  <c r="C6" i="1"/>
  <c r="C11" i="1"/>
  <c r="C10" i="1"/>
  <c r="C4" i="1"/>
  <c r="C9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12" i="1"/>
  <c r="F7" i="1" l="1"/>
  <c r="F12" i="1"/>
  <c r="F10" i="1"/>
  <c r="F11" i="1"/>
  <c r="F8" i="1"/>
  <c r="F6" i="1"/>
  <c r="F5" i="1"/>
  <c r="F4" i="1"/>
  <c r="F9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" i="1"/>
  <c r="E7" i="1"/>
  <c r="E12" i="1"/>
  <c r="E10" i="1"/>
  <c r="E11" i="1"/>
  <c r="E8" i="1"/>
  <c r="E6" i="1"/>
  <c r="E5" i="1"/>
  <c r="E4" i="1"/>
  <c r="E9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" i="1"/>
  <c r="D7" i="1"/>
  <c r="D12" i="1"/>
  <c r="D10" i="1"/>
  <c r="D11" i="1"/>
  <c r="D8" i="1"/>
  <c r="D6" i="1"/>
  <c r="D5" i="1"/>
  <c r="D4" i="1"/>
  <c r="D9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" i="1"/>
  <c r="B6" i="1" l="1"/>
  <c r="B11" i="1"/>
  <c r="B9" i="1"/>
  <c r="B5" i="1"/>
  <c r="B12" i="1"/>
  <c r="B10" i="1"/>
  <c r="B4" i="1"/>
  <c r="B8" i="1"/>
  <c r="B7" i="1"/>
  <c r="B3" i="1"/>
</calcChain>
</file>

<file path=xl/sharedStrings.xml><?xml version="1.0" encoding="utf-8"?>
<sst xmlns="http://schemas.openxmlformats.org/spreadsheetml/2006/main" count="26" uniqueCount="15">
  <si>
    <t>Team</t>
  </si>
  <si>
    <t>Total</t>
  </si>
  <si>
    <t>Rank</t>
  </si>
  <si>
    <t>For</t>
  </si>
  <si>
    <t>Against</t>
  </si>
  <si>
    <t>Plus</t>
  </si>
  <si>
    <t>Wins</t>
  </si>
  <si>
    <t>Game 1 Ends Played:</t>
  </si>
  <si>
    <t>Game 2 Ends Played:</t>
  </si>
  <si>
    <t>Game 3 Ends Played:</t>
  </si>
  <si>
    <t>Extra End</t>
  </si>
  <si>
    <t>Rinks Played</t>
  </si>
  <si>
    <t>Rink Played</t>
  </si>
  <si>
    <t>Comment</t>
  </si>
  <si>
    <t>Rink for this game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</si>
</sst>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0" borderId="0" xfId="0" applyBorder="1"/>
    <xf numFmtId="0" fontId="1" fillId="7" borderId="6" xfId="0" applyFont="1" applyFill="1" applyBorder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0" fontId="1" fillId="6" borderId="19" xfId="0" applyFont="1" applyFill="1" applyBorder="1" applyAlignment="1" applyProtection="1">
      <alignment horizontal="center" vertical="center"/>
    </xf>
    <xf numFmtId="0" fontId="1" fillId="6" borderId="7" xfId="0" applyFont="1" applyFill="1" applyBorder="1" applyAlignment="1" applyProtection="1">
      <alignment horizontal="center" vertical="center"/>
    </xf>
    <xf numFmtId="0" fontId="1" fillId="6" borderId="8" xfId="0" applyFont="1" applyFill="1" applyBorder="1" applyAlignment="1" applyProtection="1">
      <alignment horizontal="center" vertical="center"/>
    </xf>
    <xf numFmtId="0" fontId="1" fillId="6" borderId="24" xfId="0" applyFont="1" applyFill="1" applyBorder="1" applyAlignment="1" applyProtection="1">
      <alignment horizontal="center" vertical="center"/>
    </xf>
    <xf numFmtId="0" fontId="1" fillId="6" borderId="20" xfId="0" applyFont="1" applyFill="1" applyBorder="1" applyAlignment="1" applyProtection="1">
      <alignment horizontal="center" vertical="center"/>
    </xf>
    <xf numFmtId="0" fontId="1" fillId="6" borderId="10" xfId="0" applyFont="1" applyFill="1" applyBorder="1" applyAlignment="1" applyProtection="1">
      <alignment horizontal="center" vertical="center"/>
    </xf>
    <xf numFmtId="0" fontId="1" fillId="6" borderId="11" xfId="0" applyFont="1" applyFill="1" applyBorder="1" applyAlignment="1" applyProtection="1">
      <alignment horizontal="center" vertical="center"/>
    </xf>
    <xf numFmtId="0" fontId="1" fillId="6" borderId="12" xfId="0" applyFont="1" applyFill="1" applyBorder="1" applyAlignment="1" applyProtection="1">
      <alignment horizontal="center" vertical="center"/>
    </xf>
    <xf numFmtId="0" fontId="1" fillId="6" borderId="21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5" xfId="0" applyFont="1" applyFill="1" applyBorder="1" applyAlignment="1" applyProtection="1">
      <alignment horizontal="center" vertical="center"/>
    </xf>
    <xf numFmtId="0" fontId="1" fillId="4" borderId="2" xfId="0" applyFont="1" applyFill="1" applyBorder="1" applyAlignment="1" applyProtection="1">
      <alignment horizontal="center" vertical="center"/>
    </xf>
    <xf numFmtId="0" fontId="1" fillId="4" borderId="3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" fillId="2" borderId="4" xfId="0" applyFont="1" applyFill="1" applyBorder="1" applyAlignment="1" applyProtection="1">
      <alignment horizontal="center" vertical="center"/>
    </xf>
    <xf numFmtId="0" fontId="1" fillId="3" borderId="3" xfId="0" applyFont="1" applyFill="1" applyBorder="1" applyAlignment="1" applyProtection="1">
      <alignment horizontal="center" vertical="center"/>
    </xf>
    <xf numFmtId="0" fontId="1" fillId="7" borderId="1" xfId="0" applyFont="1" applyFill="1" applyBorder="1" applyAlignment="1" applyProtection="1">
      <alignment horizontal="center"/>
      <protection locked="0"/>
    </xf>
    <xf numFmtId="0" fontId="1" fillId="5" borderId="27" xfId="0" applyFont="1" applyFill="1" applyBorder="1" applyAlignment="1" applyProtection="1">
      <alignment horizontal="center" vertical="center"/>
    </xf>
    <xf numFmtId="0" fontId="1" fillId="5" borderId="22" xfId="0" applyFont="1" applyFill="1" applyBorder="1" applyAlignment="1" applyProtection="1">
      <alignment horizontal="center" vertical="center" wrapText="1"/>
    </xf>
    <xf numFmtId="0" fontId="1" fillId="5" borderId="28" xfId="0" applyFont="1" applyFill="1" applyBorder="1" applyAlignment="1" applyProtection="1">
      <alignment horizontal="center" vertical="center"/>
    </xf>
    <xf numFmtId="0" fontId="1" fillId="3" borderId="3" xfId="0" applyFont="1" applyFill="1" applyBorder="1" applyAlignment="1" applyProtection="1">
      <alignment horizontal="center" vertical="center" wrapText="1"/>
    </xf>
    <xf numFmtId="0" fontId="1" fillId="0" borderId="11" xfId="0" applyFont="1" applyFill="1" applyBorder="1" applyAlignment="1" applyProtection="1">
      <alignment horizontal="center" vertical="center"/>
      <protection locked="0"/>
    </xf>
    <xf numFmtId="0" fontId="1" fillId="0" borderId="20" xfId="0" applyFont="1" applyFill="1" applyBorder="1" applyAlignment="1" applyProtection="1">
      <alignment horizontal="center" vertical="center"/>
      <protection locked="0"/>
    </xf>
    <xf numFmtId="0" fontId="1" fillId="2" borderId="16" xfId="0" applyFont="1" applyFill="1" applyBorder="1" applyAlignment="1" applyProtection="1">
      <alignment horizontal="center" vertical="center" wrapText="1"/>
    </xf>
    <xf numFmtId="0" fontId="1" fillId="5" borderId="27" xfId="0" applyFont="1" applyFill="1" applyBorder="1" applyAlignment="1" applyProtection="1">
      <alignment horizontal="center" vertical="center" wrapText="1"/>
    </xf>
    <xf numFmtId="0" fontId="2" fillId="0" borderId="0" xfId="0" applyFont="1" applyProtection="1">
      <protection hidden="1"/>
    </xf>
    <xf numFmtId="0" fontId="2" fillId="0" borderId="0" xfId="0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applyBorder="1" applyAlignment="1">
      <alignment horizontal="center"/>
    </xf>
    <xf numFmtId="0" fontId="1" fillId="0" borderId="7" xfId="0" applyFont="1" applyBorder="1" applyAlignment="1" applyProtection="1">
      <alignment horizontal="center" vertical="center" wrapText="1"/>
    </xf>
    <xf numFmtId="0" fontId="1" fillId="0" borderId="13" xfId="0" applyFont="1" applyBorder="1" applyAlignment="1" applyProtection="1">
      <alignment horizontal="center" vertical="center" wrapText="1"/>
    </xf>
    <xf numFmtId="0" fontId="1" fillId="0" borderId="9" xfId="0" applyFont="1" applyBorder="1" applyAlignment="1" applyProtection="1">
      <alignment horizontal="center" vertical="center"/>
    </xf>
    <xf numFmtId="0" fontId="1" fillId="0" borderId="15" xfId="0" applyFont="1" applyBorder="1" applyAlignment="1" applyProtection="1">
      <alignment horizontal="center" vertical="center"/>
    </xf>
    <xf numFmtId="0" fontId="1" fillId="5" borderId="25" xfId="0" applyFont="1" applyFill="1" applyBorder="1" applyAlignment="1" applyProtection="1">
      <alignment horizontal="center"/>
    </xf>
    <xf numFmtId="0" fontId="1" fillId="5" borderId="0" xfId="0" applyFont="1" applyFill="1" applyBorder="1" applyAlignment="1" applyProtection="1">
      <alignment horizontal="center"/>
    </xf>
    <xf numFmtId="0" fontId="1" fillId="5" borderId="26" xfId="0" applyFont="1" applyFill="1" applyBorder="1" applyAlignment="1" applyProtection="1">
      <alignment horizontal="center"/>
    </xf>
    <xf numFmtId="0" fontId="1" fillId="4" borderId="16" xfId="0" applyFont="1" applyFill="1" applyBorder="1" applyAlignment="1" applyProtection="1">
      <alignment horizontal="center"/>
    </xf>
    <xf numFmtId="0" fontId="1" fillId="4" borderId="17" xfId="0" applyFont="1" applyFill="1" applyBorder="1" applyAlignment="1" applyProtection="1">
      <alignment horizontal="center"/>
    </xf>
    <xf numFmtId="0" fontId="1" fillId="4" borderId="18" xfId="0" applyFont="1" applyFill="1" applyBorder="1" applyAlignment="1" applyProtection="1">
      <alignment horizontal="center"/>
    </xf>
    <xf numFmtId="0" fontId="1" fillId="8" borderId="1" xfId="0" applyFont="1" applyFill="1" applyBorder="1" applyAlignment="1" applyProtection="1">
      <alignment horizontal="center" vertical="center"/>
    </xf>
    <xf numFmtId="0" fontId="1" fillId="8" borderId="5" xfId="0" applyFont="1" applyFill="1" applyBorder="1" applyAlignment="1" applyProtection="1">
      <alignment horizontal="center" vertical="center"/>
    </xf>
    <xf numFmtId="0" fontId="1" fillId="4" borderId="1" xfId="0" applyFont="1" applyFill="1" applyBorder="1" applyAlignment="1" applyProtection="1">
      <alignment horizontal="center" vertical="center"/>
    </xf>
    <xf numFmtId="0" fontId="1" fillId="4" borderId="5" xfId="0" applyFont="1" applyFill="1" applyBorder="1" applyAlignment="1" applyProtection="1">
      <alignment horizontal="center" vertical="center"/>
    </xf>
    <xf numFmtId="0" fontId="1" fillId="2" borderId="22" xfId="0" applyFont="1" applyFill="1" applyBorder="1" applyAlignment="1" applyProtection="1">
      <alignment horizontal="center"/>
    </xf>
    <xf numFmtId="0" fontId="1" fillId="2" borderId="17" xfId="0" applyFont="1" applyFill="1" applyBorder="1" applyAlignment="1" applyProtection="1">
      <alignment horizontal="center"/>
    </xf>
    <xf numFmtId="0" fontId="1" fillId="2" borderId="18" xfId="0" applyFont="1" applyFill="1" applyBorder="1" applyAlignment="1" applyProtection="1">
      <alignment horizontal="center"/>
    </xf>
    <xf numFmtId="0" fontId="1" fillId="3" borderId="16" xfId="0" applyFont="1" applyFill="1" applyBorder="1" applyAlignment="1" applyProtection="1">
      <alignment horizontal="center"/>
    </xf>
    <xf numFmtId="0" fontId="1" fillId="3" borderId="17" xfId="0" applyFont="1" applyFill="1" applyBorder="1" applyAlignment="1" applyProtection="1">
      <alignment horizontal="center"/>
    </xf>
    <xf numFmtId="0" fontId="1" fillId="3" borderId="18" xfId="0" applyFont="1" applyFill="1" applyBorder="1" applyAlignment="1" applyProtection="1">
      <alignment horizontal="center"/>
    </xf>
    <xf numFmtId="0" fontId="1" fillId="0" borderId="19" xfId="0" applyFont="1" applyFill="1" applyBorder="1" applyAlignment="1" applyProtection="1">
      <alignment horizontal="center" vertical="center"/>
      <protection locked="0"/>
    </xf>
    <xf numFmtId="0" fontId="1" fillId="0" borderId="21" xfId="0" applyFont="1" applyFill="1" applyBorder="1" applyAlignment="1" applyProtection="1">
      <alignment horizontal="center" vertical="center"/>
      <protection locked="0"/>
    </xf>
    <xf numFmtId="0" fontId="1" fillId="0" borderId="23" xfId="0" applyFont="1" applyFill="1" applyBorder="1" applyAlignment="1" applyProtection="1">
      <alignment horizontal="center" vertical="center"/>
      <protection locked="0"/>
    </xf>
    <xf numFmtId="0" fontId="1" fillId="0" borderId="8" xfId="0" applyFont="1" applyFill="1" applyBorder="1" applyAlignment="1" applyProtection="1">
      <alignment horizontal="center" vertical="center"/>
      <protection locked="0"/>
    </xf>
    <xf numFmtId="0" fontId="1" fillId="0" borderId="9" xfId="0" applyFont="1" applyFill="1" applyBorder="1" applyAlignment="1" applyProtection="1">
      <alignment horizontal="center" vertical="center"/>
      <protection locked="0"/>
    </xf>
    <xf numFmtId="0" fontId="1" fillId="0" borderId="29" xfId="0" applyFont="1" applyFill="1" applyBorder="1" applyAlignment="1" applyProtection="1">
      <alignment horizontal="center" vertical="center"/>
      <protection locked="0"/>
    </xf>
    <xf numFmtId="0" fontId="1" fillId="0" borderId="12" xfId="0" applyFont="1" applyFill="1" applyBorder="1" applyAlignment="1" applyProtection="1">
      <alignment horizontal="center" vertical="center"/>
      <protection locked="0"/>
    </xf>
    <xf numFmtId="0" fontId="1" fillId="0" borderId="10" xfId="0" applyFont="1" applyFill="1" applyBorder="1" applyAlignment="1" applyProtection="1">
      <alignment horizontal="center" vertical="center"/>
      <protection locked="0"/>
    </xf>
    <xf numFmtId="0" fontId="1" fillId="0" borderId="13" xfId="0" applyFont="1" applyFill="1" applyBorder="1" applyAlignment="1" applyProtection="1">
      <alignment horizontal="center" vertical="center"/>
      <protection locked="0"/>
    </xf>
    <xf numFmtId="0" fontId="1" fillId="0" borderId="14" xfId="0" applyFont="1" applyFill="1" applyBorder="1" applyAlignment="1" applyProtection="1">
      <alignment horizontal="center" vertical="center"/>
      <protection locked="0"/>
    </xf>
    <xf numFmtId="0" fontId="1" fillId="0" borderId="15" xfId="0" applyFont="1" applyFill="1" applyBorder="1" applyAlignment="1" applyProtection="1">
      <alignment horizontal="center" vertical="center"/>
      <protection locked="0"/>
    </xf>
    <xf numFmtId="0" fontId="2" fillId="0" borderId="30" xfId="0" applyFont="1" applyFill="1" applyBorder="1" applyProtection="1">
      <protection locked="0"/>
    </xf>
    <xf numFmtId="0" fontId="2" fillId="0" borderId="31" xfId="0" applyFont="1" applyFill="1" applyBorder="1" applyProtection="1">
      <protection locked="0"/>
    </xf>
    <xf numFmtId="0" fontId="2" fillId="0" borderId="10" xfId="0" applyFont="1" applyFill="1" applyBorder="1" applyProtection="1">
      <protection locked="0"/>
    </xf>
    <xf numFmtId="0" fontId="2" fillId="0" borderId="12" xfId="0" applyFont="1" applyFill="1" applyBorder="1" applyProtection="1">
      <protection locked="0"/>
    </xf>
    <xf numFmtId="0" fontId="2" fillId="0" borderId="13" xfId="0" applyFont="1" applyFill="1" applyBorder="1" applyProtection="1">
      <protection locked="0"/>
    </xf>
    <xf numFmtId="0" fontId="2" fillId="0" borderId="15" xfId="0" applyFont="1" applyFill="1" applyBorder="1" applyProtection="1">
      <protection locked="0"/>
    </xf>
  </cellXfs>
  <cellStyles count="1">
    <cellStyle name="Normal" xfId="0" builtinId="0"/>
  </cellStyles>
  <dxfs count="3">
    <dxf>
      <font>
        <b/>
        <i/>
        <color rgb="FFFF0000"/>
      </font>
      <fill>
        <patternFill>
          <bgColor rgb="FFFFE5E5"/>
        </patternFill>
      </fill>
    </dxf>
    <dxf>
      <font>
        <b/>
        <i/>
        <color rgb="FFFF0000"/>
      </font>
      <fill>
        <patternFill>
          <bgColor rgb="FFFFE5E5"/>
        </patternFill>
      </fill>
    </dxf>
    <dxf>
      <font>
        <b/>
        <i/>
        <color rgb="FFFF0000"/>
      </font>
      <fill>
        <patternFill>
          <bgColor rgb="FFFFE5E5"/>
        </patternFill>
      </fill>
    </dxf>
  </dxfs>
  <tableStyles count="0" defaultTableStyle="TableStyleMedium2" defaultPivotStyle="PivotStyleLight16"/>
  <colors>
    <mruColors>
      <color rgb="FFFFE5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0</xdr:row>
          <xdr:rowOff>19050</xdr:rowOff>
        </xdr:from>
        <xdr:to>
          <xdr:col>11</xdr:col>
          <xdr:colOff>523875</xdr:colOff>
          <xdr:row>38</xdr:row>
          <xdr:rowOff>57150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Press to Reorder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N2:O2"/>
  <sheetViews>
    <sheetView showGridLines="0" showRowColHeaders="0" tabSelected="1" workbookViewId="0">
      <selection activeCell="P10" sqref="P10"/>
    </sheetView>
  </sheetViews>
  <sheetFormatPr defaultColWidth="8.85546875" defaultRowHeight="15" x14ac:dyDescent="0.25"/>
  <cols>
    <col min="1" max="1" width="8.85546875" style="1"/>
    <col min="2" max="2" width="8.85546875" style="1" customWidth="1"/>
    <col min="3" max="16384" width="8.85546875" style="1"/>
  </cols>
  <sheetData>
    <row r="2" spans="14:15" x14ac:dyDescent="0.25">
      <c r="N2" s="33"/>
      <c r="O2" s="33"/>
    </row>
  </sheetData>
  <sheetProtection sheet="1" objects="1" scenarios="1" selectLockedCells="1" selectUnlockedCells="1"/>
  <mergeCells count="1">
    <mergeCell ref="N2:O2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2049" r:id="rId4">
          <objectPr defaultSize="0" r:id="rId5">
            <anchor moveWithCells="1">
              <from>
                <xdr:col>0</xdr:col>
                <xdr:colOff>285750</xdr:colOff>
                <xdr:row>0</xdr:row>
                <xdr:rowOff>19050</xdr:rowOff>
              </from>
              <to>
                <xdr:col>11</xdr:col>
                <xdr:colOff>523875</xdr:colOff>
                <xdr:row>38</xdr:row>
                <xdr:rowOff>57150</xdr:rowOff>
              </to>
            </anchor>
          </objectPr>
        </oleObject>
      </mc:Choice>
      <mc:Fallback>
        <oleObject progId="Word.Document.12" shapeId="204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X258"/>
  <sheetViews>
    <sheetView showGridLines="0" showRowColHeaders="0" zoomScale="70" zoomScaleNormal="70" workbookViewId="0">
      <selection activeCell="A3" sqref="A3"/>
    </sheetView>
  </sheetViews>
  <sheetFormatPr defaultColWidth="10.28515625" defaultRowHeight="15.75" x14ac:dyDescent="0.25"/>
  <cols>
    <col min="1" max="1" width="28.5703125" style="30" customWidth="1"/>
    <col min="2" max="5" width="10.28515625" style="30"/>
    <col min="6" max="6" width="10.28515625" style="31"/>
    <col min="7" max="16" width="10.28515625" style="30"/>
    <col min="17" max="17" width="10.28515625" style="32"/>
    <col min="18" max="20" width="10.28515625" style="30"/>
    <col min="21" max="22" width="17.42578125" style="30" customWidth="1"/>
    <col min="23" max="23" width="0" style="30" hidden="1" customWidth="1"/>
    <col min="24" max="24" width="4.85546875" style="30" hidden="1" customWidth="1"/>
    <col min="25" max="16384" width="10.28515625" style="30"/>
  </cols>
  <sheetData>
    <row r="1" spans="1:24" ht="16.149999999999999" customHeight="1" thickBot="1" x14ac:dyDescent="0.3">
      <c r="A1" s="44" t="s">
        <v>0</v>
      </c>
      <c r="B1" s="46" t="s">
        <v>2</v>
      </c>
      <c r="C1" s="41" t="s">
        <v>1</v>
      </c>
      <c r="D1" s="42"/>
      <c r="E1" s="42"/>
      <c r="F1" s="43"/>
      <c r="G1" s="48" t="s">
        <v>7</v>
      </c>
      <c r="H1" s="49"/>
      <c r="I1" s="50"/>
      <c r="J1" s="2">
        <v>12</v>
      </c>
      <c r="K1" s="51" t="s">
        <v>8</v>
      </c>
      <c r="L1" s="52"/>
      <c r="M1" s="52"/>
      <c r="N1" s="53"/>
      <c r="O1" s="2">
        <v>12</v>
      </c>
      <c r="P1" s="38" t="s">
        <v>9</v>
      </c>
      <c r="Q1" s="39"/>
      <c r="R1" s="39"/>
      <c r="S1" s="40"/>
      <c r="T1" s="21">
        <v>12</v>
      </c>
      <c r="U1" s="34" t="s">
        <v>13</v>
      </c>
      <c r="V1" s="36" t="s">
        <v>13</v>
      </c>
      <c r="W1" s="3"/>
      <c r="X1" s="3"/>
    </row>
    <row r="2" spans="1:24" ht="48" thickBot="1" x14ac:dyDescent="0.3">
      <c r="A2" s="45"/>
      <c r="B2" s="47"/>
      <c r="C2" s="16" t="s">
        <v>6</v>
      </c>
      <c r="D2" s="17" t="s">
        <v>3</v>
      </c>
      <c r="E2" s="17" t="s">
        <v>5</v>
      </c>
      <c r="F2" s="17" t="s">
        <v>4</v>
      </c>
      <c r="G2" s="28" t="s">
        <v>14</v>
      </c>
      <c r="H2" s="18" t="s">
        <v>3</v>
      </c>
      <c r="I2" s="18" t="s">
        <v>4</v>
      </c>
      <c r="J2" s="19" t="s">
        <v>10</v>
      </c>
      <c r="K2" s="25" t="s">
        <v>12</v>
      </c>
      <c r="L2" s="25" t="s">
        <v>14</v>
      </c>
      <c r="M2" s="20" t="s">
        <v>3</v>
      </c>
      <c r="N2" s="20" t="s">
        <v>4</v>
      </c>
      <c r="O2" s="20" t="s">
        <v>10</v>
      </c>
      <c r="P2" s="23" t="s">
        <v>11</v>
      </c>
      <c r="Q2" s="29" t="s">
        <v>14</v>
      </c>
      <c r="R2" s="22" t="s">
        <v>3</v>
      </c>
      <c r="S2" s="22" t="s">
        <v>4</v>
      </c>
      <c r="T2" s="24" t="s">
        <v>10</v>
      </c>
      <c r="U2" s="35"/>
      <c r="V2" s="37"/>
      <c r="W2" s="3"/>
      <c r="X2" s="3"/>
    </row>
    <row r="3" spans="1:24" ht="20.45" customHeight="1" x14ac:dyDescent="0.25">
      <c r="A3" s="54"/>
      <c r="B3" s="4" t="str">
        <f t="shared" ref="B3:B34" si="0">IF(NOT(ISBLANK($H3)),RANK(C3,$C$3:$C$34)+SUMPRODUCT(--($C$3:$C$34=$C3),--(D3&lt;$D$3:$D$34))+SUMPRODUCT(--($C$3:$C$34=$C3),--(D3=$D$3:$D$34),--(E3&lt;$E$3:$E$34))+SUMPRODUCT(--($C$3:$C$34=$C3),--(D3=$D$3:$D$34),--(E3=$E$3:$E$34),--(F3&gt;$F$3:$F$34)),IF(NOT(ISBLANK(G3)),RANK(G3, $G$3:$G$34, 1),""))</f>
        <v/>
      </c>
      <c r="C3" s="5" t="str">
        <f t="shared" ref="C3:C34" si="1">IF(NOT(ISBLANK($H3)), IF(($H3+$J3)&gt;$I3,1,0) +IF(($M3+$O3)&gt;$N3,1,0)+IF(($R3+$T3)&gt;$S3,1,0), "")</f>
        <v/>
      </c>
      <c r="D3" s="6" t="str">
        <f t="shared" ref="D3:D34" si="2">IF(NOT(ISBLANK($H3)),MIN($H3,$J$1*1.5)+IF(NOT(ISBLANK($M3)),MIN($M3,$O$1*1.5),0)+IF(NOT(ISBLANK($R3)),MIN($R3,$T$1*1.5),0), "")</f>
        <v/>
      </c>
      <c r="E3" s="6" t="str">
        <f t="shared" ref="E3:E34" si="3">IF(NOT(ISBLANK($H3)), MAX($H3 - $J$1*1.5, 0) + IF(NOT(ISBLANK($M3)), MAX($M3 - $O$1*1.5, 0))+ IF(NOT(ISBLANK($R3)), MAX($R3 - $T$1*1.5, 0)), "")</f>
        <v/>
      </c>
      <c r="F3" s="7" t="str">
        <f t="shared" ref="F3:F34" si="4">IF(NOT(ISBLANK($I3)),$I3+IF(NOT(ISBLANK($N3)), $N3, 0)+IF(NOT(ISBLANK($S3)), $S3, 0), "")</f>
        <v/>
      </c>
      <c r="G3" s="56"/>
      <c r="H3" s="57"/>
      <c r="I3" s="57"/>
      <c r="J3" s="58"/>
      <c r="K3" s="5" t="str">
        <f t="shared" ref="K3:K34" si="5">IF(ISBLANK(G3), "", G3)</f>
        <v/>
      </c>
      <c r="L3" s="56"/>
      <c r="M3" s="57"/>
      <c r="N3" s="57"/>
      <c r="O3" s="58"/>
      <c r="P3" s="5" t="str">
        <f t="shared" ref="P3:P34" si="6">CONCATENATE(IF(NOT(ISBLANK(G3)), G3, ""),IF(NOT(ISBLANK(L3)), CONCATENATE(", ", L3), ""))</f>
        <v/>
      </c>
      <c r="Q3" s="56"/>
      <c r="R3" s="57"/>
      <c r="S3" s="57"/>
      <c r="T3" s="58"/>
      <c r="U3" s="65"/>
      <c r="V3" s="66"/>
      <c r="W3" s="3" t="b">
        <f t="shared" ref="W3:W34" si="7">AND(L3=G3,NOT(ISBLANK(L3)),NOT(ISBLANK(G3)))</f>
        <v>0</v>
      </c>
      <c r="X3" s="3" t="b">
        <f t="shared" ref="X3:X34" si="8">AND(OR(Q3=L3,Q3=G3),NOT(ISBLANK(Q3)))</f>
        <v>0</v>
      </c>
    </row>
    <row r="4" spans="1:24" ht="20.45" customHeight="1" x14ac:dyDescent="0.25">
      <c r="A4" s="27"/>
      <c r="B4" s="8" t="str">
        <f t="shared" si="0"/>
        <v/>
      </c>
      <c r="C4" s="9" t="str">
        <f t="shared" si="1"/>
        <v/>
      </c>
      <c r="D4" s="10" t="str">
        <f t="shared" si="2"/>
        <v/>
      </c>
      <c r="E4" s="10" t="str">
        <f t="shared" si="3"/>
        <v/>
      </c>
      <c r="F4" s="11" t="str">
        <f t="shared" si="4"/>
        <v/>
      </c>
      <c r="G4" s="59"/>
      <c r="H4" s="26"/>
      <c r="I4" s="26"/>
      <c r="J4" s="60"/>
      <c r="K4" s="9" t="str">
        <f t="shared" si="5"/>
        <v/>
      </c>
      <c r="L4" s="59"/>
      <c r="M4" s="26"/>
      <c r="N4" s="26"/>
      <c r="O4" s="60"/>
      <c r="P4" s="9" t="str">
        <f t="shared" si="6"/>
        <v/>
      </c>
      <c r="Q4" s="59"/>
      <c r="R4" s="26"/>
      <c r="S4" s="26"/>
      <c r="T4" s="60"/>
      <c r="U4" s="67"/>
      <c r="V4" s="68"/>
      <c r="W4" s="3" t="b">
        <f t="shared" si="7"/>
        <v>0</v>
      </c>
      <c r="X4" s="3" t="b">
        <f t="shared" si="8"/>
        <v>0</v>
      </c>
    </row>
    <row r="5" spans="1:24" ht="20.45" customHeight="1" x14ac:dyDescent="0.25">
      <c r="A5" s="27"/>
      <c r="B5" s="8" t="str">
        <f t="shared" si="0"/>
        <v/>
      </c>
      <c r="C5" s="9" t="str">
        <f t="shared" si="1"/>
        <v/>
      </c>
      <c r="D5" s="10" t="str">
        <f t="shared" si="2"/>
        <v/>
      </c>
      <c r="E5" s="10" t="str">
        <f t="shared" si="3"/>
        <v/>
      </c>
      <c r="F5" s="11" t="str">
        <f t="shared" si="4"/>
        <v/>
      </c>
      <c r="G5" s="61"/>
      <c r="H5" s="26"/>
      <c r="I5" s="26"/>
      <c r="J5" s="60"/>
      <c r="K5" s="9" t="str">
        <f t="shared" si="5"/>
        <v/>
      </c>
      <c r="L5" s="61"/>
      <c r="M5" s="26"/>
      <c r="N5" s="26"/>
      <c r="O5" s="60"/>
      <c r="P5" s="9" t="str">
        <f t="shared" si="6"/>
        <v/>
      </c>
      <c r="Q5" s="61"/>
      <c r="R5" s="26"/>
      <c r="S5" s="26"/>
      <c r="T5" s="60"/>
      <c r="U5" s="67"/>
      <c r="V5" s="68"/>
      <c r="W5" s="3" t="b">
        <f t="shared" si="7"/>
        <v>0</v>
      </c>
      <c r="X5" s="3" t="b">
        <f t="shared" si="8"/>
        <v>0</v>
      </c>
    </row>
    <row r="6" spans="1:24" ht="20.45" customHeight="1" x14ac:dyDescent="0.25">
      <c r="A6" s="27"/>
      <c r="B6" s="8" t="str">
        <f t="shared" si="0"/>
        <v/>
      </c>
      <c r="C6" s="9" t="str">
        <f t="shared" si="1"/>
        <v/>
      </c>
      <c r="D6" s="10" t="str">
        <f t="shared" si="2"/>
        <v/>
      </c>
      <c r="E6" s="10" t="str">
        <f t="shared" si="3"/>
        <v/>
      </c>
      <c r="F6" s="11" t="str">
        <f t="shared" si="4"/>
        <v/>
      </c>
      <c r="G6" s="61"/>
      <c r="H6" s="26"/>
      <c r="I6" s="26"/>
      <c r="J6" s="60"/>
      <c r="K6" s="9" t="str">
        <f t="shared" si="5"/>
        <v/>
      </c>
      <c r="L6" s="61"/>
      <c r="M6" s="26"/>
      <c r="N6" s="26"/>
      <c r="O6" s="60"/>
      <c r="P6" s="9" t="str">
        <f t="shared" si="6"/>
        <v/>
      </c>
      <c r="Q6" s="61"/>
      <c r="R6" s="26"/>
      <c r="S6" s="26"/>
      <c r="T6" s="60"/>
      <c r="U6" s="67"/>
      <c r="V6" s="68"/>
      <c r="W6" s="3" t="b">
        <f t="shared" si="7"/>
        <v>0</v>
      </c>
      <c r="X6" s="3" t="b">
        <f t="shared" si="8"/>
        <v>0</v>
      </c>
    </row>
    <row r="7" spans="1:24" ht="20.45" customHeight="1" x14ac:dyDescent="0.25">
      <c r="A7" s="27"/>
      <c r="B7" s="8" t="str">
        <f t="shared" si="0"/>
        <v/>
      </c>
      <c r="C7" s="9" t="str">
        <f t="shared" si="1"/>
        <v/>
      </c>
      <c r="D7" s="10" t="str">
        <f t="shared" si="2"/>
        <v/>
      </c>
      <c r="E7" s="10" t="str">
        <f t="shared" si="3"/>
        <v/>
      </c>
      <c r="F7" s="11" t="str">
        <f t="shared" si="4"/>
        <v/>
      </c>
      <c r="G7" s="59"/>
      <c r="H7" s="26"/>
      <c r="I7" s="26"/>
      <c r="J7" s="60"/>
      <c r="K7" s="9" t="str">
        <f t="shared" si="5"/>
        <v/>
      </c>
      <c r="L7" s="59"/>
      <c r="M7" s="26"/>
      <c r="N7" s="26"/>
      <c r="O7" s="60"/>
      <c r="P7" s="9" t="str">
        <f t="shared" si="6"/>
        <v/>
      </c>
      <c r="Q7" s="59"/>
      <c r="R7" s="26"/>
      <c r="S7" s="26"/>
      <c r="T7" s="60"/>
      <c r="U7" s="67"/>
      <c r="V7" s="68"/>
      <c r="W7" s="3" t="b">
        <f t="shared" si="7"/>
        <v>0</v>
      </c>
      <c r="X7" s="3" t="b">
        <f t="shared" si="8"/>
        <v>0</v>
      </c>
    </row>
    <row r="8" spans="1:24" ht="20.45" customHeight="1" x14ac:dyDescent="0.25">
      <c r="A8" s="27"/>
      <c r="B8" s="8" t="str">
        <f t="shared" si="0"/>
        <v/>
      </c>
      <c r="C8" s="9" t="str">
        <f t="shared" si="1"/>
        <v/>
      </c>
      <c r="D8" s="10" t="str">
        <f t="shared" si="2"/>
        <v/>
      </c>
      <c r="E8" s="10" t="str">
        <f t="shared" si="3"/>
        <v/>
      </c>
      <c r="F8" s="11" t="str">
        <f t="shared" si="4"/>
        <v/>
      </c>
      <c r="G8" s="59"/>
      <c r="H8" s="26"/>
      <c r="I8" s="26"/>
      <c r="J8" s="60"/>
      <c r="K8" s="9" t="str">
        <f t="shared" si="5"/>
        <v/>
      </c>
      <c r="L8" s="59"/>
      <c r="M8" s="26"/>
      <c r="N8" s="26"/>
      <c r="O8" s="60"/>
      <c r="P8" s="9" t="str">
        <f t="shared" si="6"/>
        <v/>
      </c>
      <c r="Q8" s="59"/>
      <c r="R8" s="26"/>
      <c r="S8" s="26"/>
      <c r="T8" s="60"/>
      <c r="U8" s="67"/>
      <c r="V8" s="68"/>
      <c r="W8" s="3" t="b">
        <f t="shared" si="7"/>
        <v>0</v>
      </c>
      <c r="X8" s="3" t="b">
        <f t="shared" si="8"/>
        <v>0</v>
      </c>
    </row>
    <row r="9" spans="1:24" ht="20.45" customHeight="1" x14ac:dyDescent="0.25">
      <c r="A9" s="27"/>
      <c r="B9" s="8" t="str">
        <f t="shared" si="0"/>
        <v/>
      </c>
      <c r="C9" s="9" t="str">
        <f t="shared" si="1"/>
        <v/>
      </c>
      <c r="D9" s="10" t="str">
        <f t="shared" si="2"/>
        <v/>
      </c>
      <c r="E9" s="10" t="str">
        <f t="shared" si="3"/>
        <v/>
      </c>
      <c r="F9" s="11" t="str">
        <f t="shared" si="4"/>
        <v/>
      </c>
      <c r="G9" s="61"/>
      <c r="H9" s="26"/>
      <c r="I9" s="26"/>
      <c r="J9" s="60"/>
      <c r="K9" s="9" t="str">
        <f t="shared" si="5"/>
        <v/>
      </c>
      <c r="L9" s="61"/>
      <c r="M9" s="26"/>
      <c r="N9" s="26"/>
      <c r="O9" s="60"/>
      <c r="P9" s="9" t="str">
        <f t="shared" si="6"/>
        <v/>
      </c>
      <c r="Q9" s="61"/>
      <c r="R9" s="26"/>
      <c r="S9" s="26"/>
      <c r="T9" s="60"/>
      <c r="U9" s="67"/>
      <c r="V9" s="68"/>
      <c r="W9" s="3" t="b">
        <f t="shared" si="7"/>
        <v>0</v>
      </c>
      <c r="X9" s="3" t="b">
        <f t="shared" si="8"/>
        <v>0</v>
      </c>
    </row>
    <row r="10" spans="1:24" ht="20.45" customHeight="1" x14ac:dyDescent="0.25">
      <c r="A10" s="27"/>
      <c r="B10" s="8" t="str">
        <f t="shared" si="0"/>
        <v/>
      </c>
      <c r="C10" s="9" t="str">
        <f t="shared" si="1"/>
        <v/>
      </c>
      <c r="D10" s="10" t="str">
        <f t="shared" si="2"/>
        <v/>
      </c>
      <c r="E10" s="10" t="str">
        <f t="shared" si="3"/>
        <v/>
      </c>
      <c r="F10" s="11" t="str">
        <f t="shared" si="4"/>
        <v/>
      </c>
      <c r="G10" s="61"/>
      <c r="H10" s="26"/>
      <c r="I10" s="26"/>
      <c r="J10" s="60"/>
      <c r="K10" s="9" t="str">
        <f t="shared" si="5"/>
        <v/>
      </c>
      <c r="L10" s="61"/>
      <c r="M10" s="26"/>
      <c r="N10" s="26"/>
      <c r="O10" s="60"/>
      <c r="P10" s="9" t="str">
        <f t="shared" si="6"/>
        <v/>
      </c>
      <c r="Q10" s="61"/>
      <c r="R10" s="26"/>
      <c r="S10" s="26"/>
      <c r="T10" s="60"/>
      <c r="U10" s="67"/>
      <c r="V10" s="68"/>
      <c r="W10" s="3" t="b">
        <f t="shared" si="7"/>
        <v>0</v>
      </c>
      <c r="X10" s="3" t="b">
        <f t="shared" si="8"/>
        <v>0</v>
      </c>
    </row>
    <row r="11" spans="1:24" ht="20.45" customHeight="1" x14ac:dyDescent="0.25">
      <c r="A11" s="27"/>
      <c r="B11" s="8" t="str">
        <f t="shared" si="0"/>
        <v/>
      </c>
      <c r="C11" s="9" t="str">
        <f t="shared" si="1"/>
        <v/>
      </c>
      <c r="D11" s="10" t="str">
        <f t="shared" si="2"/>
        <v/>
      </c>
      <c r="E11" s="10" t="str">
        <f t="shared" si="3"/>
        <v/>
      </c>
      <c r="F11" s="11" t="str">
        <f t="shared" si="4"/>
        <v/>
      </c>
      <c r="G11" s="59"/>
      <c r="H11" s="26"/>
      <c r="I11" s="26"/>
      <c r="J11" s="60"/>
      <c r="K11" s="9" t="str">
        <f t="shared" si="5"/>
        <v/>
      </c>
      <c r="L11" s="59"/>
      <c r="M11" s="26"/>
      <c r="N11" s="26"/>
      <c r="O11" s="60"/>
      <c r="P11" s="9" t="str">
        <f t="shared" si="6"/>
        <v/>
      </c>
      <c r="Q11" s="59"/>
      <c r="R11" s="26"/>
      <c r="S11" s="26"/>
      <c r="T11" s="60"/>
      <c r="U11" s="67"/>
      <c r="V11" s="68"/>
      <c r="W11" s="3" t="b">
        <f t="shared" si="7"/>
        <v>0</v>
      </c>
      <c r="X11" s="3" t="b">
        <f t="shared" si="8"/>
        <v>0</v>
      </c>
    </row>
    <row r="12" spans="1:24" ht="20.45" customHeight="1" x14ac:dyDescent="0.25">
      <c r="A12" s="27"/>
      <c r="B12" s="8" t="str">
        <f t="shared" si="0"/>
        <v/>
      </c>
      <c r="C12" s="9" t="str">
        <f t="shared" si="1"/>
        <v/>
      </c>
      <c r="D12" s="10" t="str">
        <f t="shared" si="2"/>
        <v/>
      </c>
      <c r="E12" s="10" t="str">
        <f t="shared" si="3"/>
        <v/>
      </c>
      <c r="F12" s="11" t="str">
        <f t="shared" si="4"/>
        <v/>
      </c>
      <c r="G12" s="59"/>
      <c r="H12" s="26"/>
      <c r="I12" s="26"/>
      <c r="J12" s="60"/>
      <c r="K12" s="9" t="str">
        <f t="shared" si="5"/>
        <v/>
      </c>
      <c r="L12" s="59"/>
      <c r="M12" s="26"/>
      <c r="N12" s="26"/>
      <c r="O12" s="60"/>
      <c r="P12" s="9" t="str">
        <f t="shared" si="6"/>
        <v/>
      </c>
      <c r="Q12" s="59"/>
      <c r="R12" s="26"/>
      <c r="S12" s="26"/>
      <c r="T12" s="60"/>
      <c r="U12" s="67"/>
      <c r="V12" s="68"/>
      <c r="W12" s="3" t="b">
        <f t="shared" si="7"/>
        <v>0</v>
      </c>
      <c r="X12" s="3" t="b">
        <f t="shared" si="8"/>
        <v>0</v>
      </c>
    </row>
    <row r="13" spans="1:24" ht="20.45" customHeight="1" x14ac:dyDescent="0.25">
      <c r="A13" s="27"/>
      <c r="B13" s="8" t="str">
        <f t="shared" si="0"/>
        <v/>
      </c>
      <c r="C13" s="9" t="str">
        <f t="shared" si="1"/>
        <v/>
      </c>
      <c r="D13" s="10" t="str">
        <f t="shared" si="2"/>
        <v/>
      </c>
      <c r="E13" s="10" t="str">
        <f t="shared" si="3"/>
        <v/>
      </c>
      <c r="F13" s="11" t="str">
        <f t="shared" si="4"/>
        <v/>
      </c>
      <c r="G13" s="61"/>
      <c r="H13" s="26"/>
      <c r="I13" s="26"/>
      <c r="J13" s="60"/>
      <c r="K13" s="9" t="str">
        <f t="shared" si="5"/>
        <v/>
      </c>
      <c r="L13" s="61"/>
      <c r="M13" s="26"/>
      <c r="N13" s="26"/>
      <c r="O13" s="60"/>
      <c r="P13" s="9" t="str">
        <f t="shared" si="6"/>
        <v/>
      </c>
      <c r="Q13" s="61"/>
      <c r="R13" s="26"/>
      <c r="S13" s="26"/>
      <c r="T13" s="60"/>
      <c r="U13" s="67"/>
      <c r="V13" s="68"/>
      <c r="W13" s="3" t="b">
        <f t="shared" si="7"/>
        <v>0</v>
      </c>
      <c r="X13" s="3" t="b">
        <f t="shared" si="8"/>
        <v>0</v>
      </c>
    </row>
    <row r="14" spans="1:24" ht="20.45" customHeight="1" x14ac:dyDescent="0.25">
      <c r="A14" s="27"/>
      <c r="B14" s="8" t="str">
        <f t="shared" si="0"/>
        <v/>
      </c>
      <c r="C14" s="9" t="str">
        <f t="shared" si="1"/>
        <v/>
      </c>
      <c r="D14" s="10" t="str">
        <f t="shared" si="2"/>
        <v/>
      </c>
      <c r="E14" s="10" t="str">
        <f t="shared" si="3"/>
        <v/>
      </c>
      <c r="F14" s="11" t="str">
        <f t="shared" si="4"/>
        <v/>
      </c>
      <c r="G14" s="61"/>
      <c r="H14" s="26"/>
      <c r="I14" s="26"/>
      <c r="J14" s="60"/>
      <c r="K14" s="9" t="str">
        <f t="shared" si="5"/>
        <v/>
      </c>
      <c r="L14" s="61"/>
      <c r="M14" s="26"/>
      <c r="N14" s="26"/>
      <c r="O14" s="60"/>
      <c r="P14" s="9" t="str">
        <f t="shared" si="6"/>
        <v/>
      </c>
      <c r="Q14" s="61"/>
      <c r="R14" s="26"/>
      <c r="S14" s="26"/>
      <c r="T14" s="60"/>
      <c r="U14" s="67"/>
      <c r="V14" s="68"/>
      <c r="W14" s="3" t="b">
        <f t="shared" si="7"/>
        <v>0</v>
      </c>
      <c r="X14" s="3" t="b">
        <f t="shared" si="8"/>
        <v>0</v>
      </c>
    </row>
    <row r="15" spans="1:24" ht="20.45" customHeight="1" x14ac:dyDescent="0.25">
      <c r="A15" s="27"/>
      <c r="B15" s="8" t="str">
        <f t="shared" si="0"/>
        <v/>
      </c>
      <c r="C15" s="9" t="str">
        <f t="shared" si="1"/>
        <v/>
      </c>
      <c r="D15" s="10" t="str">
        <f t="shared" si="2"/>
        <v/>
      </c>
      <c r="E15" s="10" t="str">
        <f t="shared" si="3"/>
        <v/>
      </c>
      <c r="F15" s="11" t="str">
        <f t="shared" si="4"/>
        <v/>
      </c>
      <c r="G15" s="59"/>
      <c r="H15" s="26"/>
      <c r="I15" s="26"/>
      <c r="J15" s="60"/>
      <c r="K15" s="9" t="str">
        <f t="shared" si="5"/>
        <v/>
      </c>
      <c r="L15" s="59"/>
      <c r="M15" s="26"/>
      <c r="N15" s="26"/>
      <c r="O15" s="60"/>
      <c r="P15" s="9" t="str">
        <f t="shared" si="6"/>
        <v/>
      </c>
      <c r="Q15" s="59"/>
      <c r="R15" s="26"/>
      <c r="S15" s="26"/>
      <c r="T15" s="60"/>
      <c r="U15" s="67"/>
      <c r="V15" s="68"/>
      <c r="W15" s="3" t="b">
        <f t="shared" si="7"/>
        <v>0</v>
      </c>
      <c r="X15" s="3" t="b">
        <f t="shared" si="8"/>
        <v>0</v>
      </c>
    </row>
    <row r="16" spans="1:24" ht="20.45" customHeight="1" x14ac:dyDescent="0.25">
      <c r="A16" s="27"/>
      <c r="B16" s="8" t="str">
        <f t="shared" si="0"/>
        <v/>
      </c>
      <c r="C16" s="9" t="str">
        <f t="shared" si="1"/>
        <v/>
      </c>
      <c r="D16" s="10" t="str">
        <f t="shared" si="2"/>
        <v/>
      </c>
      <c r="E16" s="10" t="str">
        <f t="shared" si="3"/>
        <v/>
      </c>
      <c r="F16" s="11" t="str">
        <f t="shared" si="4"/>
        <v/>
      </c>
      <c r="G16" s="59"/>
      <c r="H16" s="26"/>
      <c r="I16" s="26"/>
      <c r="J16" s="60"/>
      <c r="K16" s="9" t="str">
        <f t="shared" si="5"/>
        <v/>
      </c>
      <c r="L16" s="59"/>
      <c r="M16" s="26"/>
      <c r="N16" s="26"/>
      <c r="O16" s="60"/>
      <c r="P16" s="9" t="str">
        <f t="shared" si="6"/>
        <v/>
      </c>
      <c r="Q16" s="59"/>
      <c r="R16" s="26"/>
      <c r="S16" s="26"/>
      <c r="T16" s="60"/>
      <c r="U16" s="67"/>
      <c r="V16" s="68"/>
      <c r="W16" s="3" t="b">
        <f t="shared" si="7"/>
        <v>0</v>
      </c>
      <c r="X16" s="3" t="b">
        <f t="shared" si="8"/>
        <v>0</v>
      </c>
    </row>
    <row r="17" spans="1:24" ht="20.45" customHeight="1" x14ac:dyDescent="0.25">
      <c r="A17" s="27"/>
      <c r="B17" s="8" t="str">
        <f t="shared" si="0"/>
        <v/>
      </c>
      <c r="C17" s="9" t="str">
        <f t="shared" si="1"/>
        <v/>
      </c>
      <c r="D17" s="10" t="str">
        <f t="shared" si="2"/>
        <v/>
      </c>
      <c r="E17" s="10" t="str">
        <f t="shared" si="3"/>
        <v/>
      </c>
      <c r="F17" s="11" t="str">
        <f t="shared" si="4"/>
        <v/>
      </c>
      <c r="G17" s="61"/>
      <c r="H17" s="26"/>
      <c r="I17" s="26"/>
      <c r="J17" s="60"/>
      <c r="K17" s="9" t="str">
        <f t="shared" si="5"/>
        <v/>
      </c>
      <c r="L17" s="61"/>
      <c r="M17" s="26"/>
      <c r="N17" s="26"/>
      <c r="O17" s="60"/>
      <c r="P17" s="9" t="str">
        <f t="shared" si="6"/>
        <v/>
      </c>
      <c r="Q17" s="61"/>
      <c r="R17" s="26"/>
      <c r="S17" s="26"/>
      <c r="T17" s="60"/>
      <c r="U17" s="67"/>
      <c r="V17" s="68"/>
      <c r="W17" s="3" t="b">
        <f t="shared" si="7"/>
        <v>0</v>
      </c>
      <c r="X17" s="3" t="b">
        <f t="shared" si="8"/>
        <v>0</v>
      </c>
    </row>
    <row r="18" spans="1:24" ht="20.45" customHeight="1" x14ac:dyDescent="0.25">
      <c r="A18" s="27"/>
      <c r="B18" s="8" t="str">
        <f t="shared" si="0"/>
        <v/>
      </c>
      <c r="C18" s="9" t="str">
        <f t="shared" si="1"/>
        <v/>
      </c>
      <c r="D18" s="10" t="str">
        <f t="shared" si="2"/>
        <v/>
      </c>
      <c r="E18" s="10" t="str">
        <f t="shared" si="3"/>
        <v/>
      </c>
      <c r="F18" s="11" t="str">
        <f t="shared" si="4"/>
        <v/>
      </c>
      <c r="G18" s="61"/>
      <c r="H18" s="26"/>
      <c r="I18" s="26"/>
      <c r="J18" s="60"/>
      <c r="K18" s="9" t="str">
        <f t="shared" si="5"/>
        <v/>
      </c>
      <c r="L18" s="61"/>
      <c r="M18" s="26"/>
      <c r="N18" s="26"/>
      <c r="O18" s="60"/>
      <c r="P18" s="9" t="str">
        <f t="shared" si="6"/>
        <v/>
      </c>
      <c r="Q18" s="61"/>
      <c r="R18" s="26"/>
      <c r="S18" s="26"/>
      <c r="T18" s="60"/>
      <c r="U18" s="67"/>
      <c r="V18" s="68"/>
      <c r="W18" s="3" t="b">
        <f t="shared" si="7"/>
        <v>0</v>
      </c>
      <c r="X18" s="3" t="b">
        <f t="shared" si="8"/>
        <v>0</v>
      </c>
    </row>
    <row r="19" spans="1:24" ht="20.45" customHeight="1" x14ac:dyDescent="0.25">
      <c r="A19" s="27"/>
      <c r="B19" s="8" t="str">
        <f t="shared" si="0"/>
        <v/>
      </c>
      <c r="C19" s="9" t="str">
        <f t="shared" si="1"/>
        <v/>
      </c>
      <c r="D19" s="10" t="str">
        <f t="shared" si="2"/>
        <v/>
      </c>
      <c r="E19" s="10" t="str">
        <f t="shared" si="3"/>
        <v/>
      </c>
      <c r="F19" s="11" t="str">
        <f t="shared" si="4"/>
        <v/>
      </c>
      <c r="G19" s="59"/>
      <c r="H19" s="26"/>
      <c r="I19" s="26"/>
      <c r="J19" s="60"/>
      <c r="K19" s="9" t="str">
        <f t="shared" si="5"/>
        <v/>
      </c>
      <c r="L19" s="59"/>
      <c r="M19" s="26"/>
      <c r="N19" s="26"/>
      <c r="O19" s="60"/>
      <c r="P19" s="9" t="str">
        <f t="shared" si="6"/>
        <v/>
      </c>
      <c r="Q19" s="59"/>
      <c r="R19" s="26"/>
      <c r="S19" s="26"/>
      <c r="T19" s="60"/>
      <c r="U19" s="67"/>
      <c r="V19" s="68"/>
      <c r="W19" s="3" t="b">
        <f t="shared" si="7"/>
        <v>0</v>
      </c>
      <c r="X19" s="3" t="b">
        <f t="shared" si="8"/>
        <v>0</v>
      </c>
    </row>
    <row r="20" spans="1:24" ht="20.45" customHeight="1" x14ac:dyDescent="0.25">
      <c r="A20" s="27"/>
      <c r="B20" s="8" t="str">
        <f t="shared" si="0"/>
        <v/>
      </c>
      <c r="C20" s="9" t="str">
        <f t="shared" si="1"/>
        <v/>
      </c>
      <c r="D20" s="10" t="str">
        <f t="shared" si="2"/>
        <v/>
      </c>
      <c r="E20" s="10" t="str">
        <f t="shared" si="3"/>
        <v/>
      </c>
      <c r="F20" s="11" t="str">
        <f t="shared" si="4"/>
        <v/>
      </c>
      <c r="G20" s="59"/>
      <c r="H20" s="26"/>
      <c r="I20" s="26"/>
      <c r="J20" s="60"/>
      <c r="K20" s="9" t="str">
        <f t="shared" si="5"/>
        <v/>
      </c>
      <c r="L20" s="59"/>
      <c r="M20" s="26"/>
      <c r="N20" s="26"/>
      <c r="O20" s="60"/>
      <c r="P20" s="9" t="str">
        <f t="shared" si="6"/>
        <v/>
      </c>
      <c r="Q20" s="59"/>
      <c r="R20" s="26"/>
      <c r="S20" s="26"/>
      <c r="T20" s="60"/>
      <c r="U20" s="67"/>
      <c r="V20" s="68"/>
      <c r="W20" s="3" t="b">
        <f t="shared" si="7"/>
        <v>0</v>
      </c>
      <c r="X20" s="3" t="b">
        <f t="shared" si="8"/>
        <v>0</v>
      </c>
    </row>
    <row r="21" spans="1:24" ht="20.45" customHeight="1" x14ac:dyDescent="0.25">
      <c r="A21" s="27"/>
      <c r="B21" s="8" t="str">
        <f t="shared" si="0"/>
        <v/>
      </c>
      <c r="C21" s="9" t="str">
        <f t="shared" si="1"/>
        <v/>
      </c>
      <c r="D21" s="10" t="str">
        <f t="shared" si="2"/>
        <v/>
      </c>
      <c r="E21" s="10" t="str">
        <f t="shared" si="3"/>
        <v/>
      </c>
      <c r="F21" s="11" t="str">
        <f t="shared" si="4"/>
        <v/>
      </c>
      <c r="G21" s="61"/>
      <c r="H21" s="26"/>
      <c r="I21" s="26"/>
      <c r="J21" s="60"/>
      <c r="K21" s="9" t="str">
        <f t="shared" si="5"/>
        <v/>
      </c>
      <c r="L21" s="61"/>
      <c r="M21" s="26"/>
      <c r="N21" s="26"/>
      <c r="O21" s="60"/>
      <c r="P21" s="9" t="str">
        <f t="shared" si="6"/>
        <v/>
      </c>
      <c r="Q21" s="61"/>
      <c r="R21" s="26"/>
      <c r="S21" s="26"/>
      <c r="T21" s="60"/>
      <c r="U21" s="67"/>
      <c r="V21" s="68"/>
      <c r="W21" s="3" t="b">
        <f t="shared" si="7"/>
        <v>0</v>
      </c>
      <c r="X21" s="3" t="b">
        <f t="shared" si="8"/>
        <v>0</v>
      </c>
    </row>
    <row r="22" spans="1:24" ht="20.45" customHeight="1" x14ac:dyDescent="0.25">
      <c r="A22" s="27"/>
      <c r="B22" s="8" t="str">
        <f t="shared" si="0"/>
        <v/>
      </c>
      <c r="C22" s="9" t="str">
        <f t="shared" si="1"/>
        <v/>
      </c>
      <c r="D22" s="10" t="str">
        <f t="shared" si="2"/>
        <v/>
      </c>
      <c r="E22" s="10" t="str">
        <f t="shared" si="3"/>
        <v/>
      </c>
      <c r="F22" s="11" t="str">
        <f t="shared" si="4"/>
        <v/>
      </c>
      <c r="G22" s="61"/>
      <c r="H22" s="26"/>
      <c r="I22" s="26"/>
      <c r="J22" s="60"/>
      <c r="K22" s="9" t="str">
        <f t="shared" si="5"/>
        <v/>
      </c>
      <c r="L22" s="61"/>
      <c r="M22" s="26"/>
      <c r="N22" s="26"/>
      <c r="O22" s="60"/>
      <c r="P22" s="9" t="str">
        <f t="shared" si="6"/>
        <v/>
      </c>
      <c r="Q22" s="61"/>
      <c r="R22" s="26"/>
      <c r="S22" s="26"/>
      <c r="T22" s="60"/>
      <c r="U22" s="67"/>
      <c r="V22" s="68"/>
      <c r="W22" s="3" t="b">
        <f t="shared" si="7"/>
        <v>0</v>
      </c>
      <c r="X22" s="3" t="b">
        <f t="shared" si="8"/>
        <v>0</v>
      </c>
    </row>
    <row r="23" spans="1:24" ht="20.45" customHeight="1" x14ac:dyDescent="0.25">
      <c r="A23" s="27"/>
      <c r="B23" s="8" t="str">
        <f t="shared" si="0"/>
        <v/>
      </c>
      <c r="C23" s="9" t="str">
        <f t="shared" si="1"/>
        <v/>
      </c>
      <c r="D23" s="10" t="str">
        <f t="shared" si="2"/>
        <v/>
      </c>
      <c r="E23" s="10" t="str">
        <f t="shared" si="3"/>
        <v/>
      </c>
      <c r="F23" s="11" t="str">
        <f t="shared" si="4"/>
        <v/>
      </c>
      <c r="G23" s="59"/>
      <c r="H23" s="26"/>
      <c r="I23" s="26"/>
      <c r="J23" s="60"/>
      <c r="K23" s="9" t="str">
        <f t="shared" si="5"/>
        <v/>
      </c>
      <c r="L23" s="59"/>
      <c r="M23" s="26"/>
      <c r="N23" s="26"/>
      <c r="O23" s="60"/>
      <c r="P23" s="9" t="str">
        <f t="shared" si="6"/>
        <v/>
      </c>
      <c r="Q23" s="59"/>
      <c r="R23" s="26"/>
      <c r="S23" s="26"/>
      <c r="T23" s="60"/>
      <c r="U23" s="67"/>
      <c r="V23" s="68"/>
      <c r="W23" s="3" t="b">
        <f t="shared" si="7"/>
        <v>0</v>
      </c>
      <c r="X23" s="3" t="b">
        <f t="shared" si="8"/>
        <v>0</v>
      </c>
    </row>
    <row r="24" spans="1:24" ht="20.45" customHeight="1" x14ac:dyDescent="0.25">
      <c r="A24" s="27"/>
      <c r="B24" s="8" t="str">
        <f t="shared" si="0"/>
        <v/>
      </c>
      <c r="C24" s="9" t="str">
        <f t="shared" si="1"/>
        <v/>
      </c>
      <c r="D24" s="10" t="str">
        <f t="shared" si="2"/>
        <v/>
      </c>
      <c r="E24" s="10" t="str">
        <f t="shared" si="3"/>
        <v/>
      </c>
      <c r="F24" s="11" t="str">
        <f t="shared" si="4"/>
        <v/>
      </c>
      <c r="G24" s="59"/>
      <c r="H24" s="26"/>
      <c r="I24" s="26"/>
      <c r="J24" s="60"/>
      <c r="K24" s="9" t="str">
        <f t="shared" si="5"/>
        <v/>
      </c>
      <c r="L24" s="59"/>
      <c r="M24" s="26"/>
      <c r="N24" s="26"/>
      <c r="O24" s="60"/>
      <c r="P24" s="9" t="str">
        <f t="shared" si="6"/>
        <v/>
      </c>
      <c r="Q24" s="59"/>
      <c r="R24" s="26"/>
      <c r="S24" s="26"/>
      <c r="T24" s="60"/>
      <c r="U24" s="67"/>
      <c r="V24" s="68"/>
      <c r="W24" s="3" t="b">
        <f t="shared" si="7"/>
        <v>0</v>
      </c>
      <c r="X24" s="3" t="b">
        <f t="shared" si="8"/>
        <v>0</v>
      </c>
    </row>
    <row r="25" spans="1:24" ht="20.45" customHeight="1" x14ac:dyDescent="0.25">
      <c r="A25" s="27"/>
      <c r="B25" s="8" t="str">
        <f t="shared" si="0"/>
        <v/>
      </c>
      <c r="C25" s="9" t="str">
        <f t="shared" si="1"/>
        <v/>
      </c>
      <c r="D25" s="10" t="str">
        <f t="shared" si="2"/>
        <v/>
      </c>
      <c r="E25" s="10" t="str">
        <f t="shared" si="3"/>
        <v/>
      </c>
      <c r="F25" s="11" t="str">
        <f t="shared" si="4"/>
        <v/>
      </c>
      <c r="G25" s="61"/>
      <c r="H25" s="26"/>
      <c r="I25" s="26"/>
      <c r="J25" s="60"/>
      <c r="K25" s="9" t="str">
        <f t="shared" si="5"/>
        <v/>
      </c>
      <c r="L25" s="61"/>
      <c r="M25" s="26"/>
      <c r="N25" s="26"/>
      <c r="O25" s="60"/>
      <c r="P25" s="9" t="str">
        <f t="shared" si="6"/>
        <v/>
      </c>
      <c r="Q25" s="61"/>
      <c r="R25" s="26"/>
      <c r="S25" s="26"/>
      <c r="T25" s="60"/>
      <c r="U25" s="67"/>
      <c r="V25" s="68"/>
      <c r="W25" s="3" t="b">
        <f t="shared" si="7"/>
        <v>0</v>
      </c>
      <c r="X25" s="3" t="b">
        <f t="shared" si="8"/>
        <v>0</v>
      </c>
    </row>
    <row r="26" spans="1:24" ht="20.45" customHeight="1" x14ac:dyDescent="0.25">
      <c r="A26" s="27"/>
      <c r="B26" s="8" t="str">
        <f t="shared" si="0"/>
        <v/>
      </c>
      <c r="C26" s="9" t="str">
        <f t="shared" si="1"/>
        <v/>
      </c>
      <c r="D26" s="10" t="str">
        <f t="shared" si="2"/>
        <v/>
      </c>
      <c r="E26" s="10" t="str">
        <f t="shared" si="3"/>
        <v/>
      </c>
      <c r="F26" s="11" t="str">
        <f t="shared" si="4"/>
        <v/>
      </c>
      <c r="G26" s="61"/>
      <c r="H26" s="26"/>
      <c r="I26" s="26"/>
      <c r="J26" s="60"/>
      <c r="K26" s="9" t="str">
        <f t="shared" si="5"/>
        <v/>
      </c>
      <c r="L26" s="61"/>
      <c r="M26" s="26"/>
      <c r="N26" s="26"/>
      <c r="O26" s="60"/>
      <c r="P26" s="9" t="str">
        <f t="shared" si="6"/>
        <v/>
      </c>
      <c r="Q26" s="61"/>
      <c r="R26" s="26"/>
      <c r="S26" s="26"/>
      <c r="T26" s="60"/>
      <c r="U26" s="67"/>
      <c r="V26" s="68"/>
      <c r="W26" s="3" t="b">
        <f t="shared" si="7"/>
        <v>0</v>
      </c>
      <c r="X26" s="3" t="b">
        <f t="shared" si="8"/>
        <v>0</v>
      </c>
    </row>
    <row r="27" spans="1:24" ht="20.45" customHeight="1" x14ac:dyDescent="0.25">
      <c r="A27" s="27"/>
      <c r="B27" s="8" t="str">
        <f t="shared" si="0"/>
        <v/>
      </c>
      <c r="C27" s="9" t="str">
        <f t="shared" si="1"/>
        <v/>
      </c>
      <c r="D27" s="10" t="str">
        <f t="shared" si="2"/>
        <v/>
      </c>
      <c r="E27" s="10" t="str">
        <f t="shared" si="3"/>
        <v/>
      </c>
      <c r="F27" s="11" t="str">
        <f t="shared" si="4"/>
        <v/>
      </c>
      <c r="G27" s="59"/>
      <c r="H27" s="26"/>
      <c r="I27" s="26"/>
      <c r="J27" s="60"/>
      <c r="K27" s="9" t="str">
        <f t="shared" si="5"/>
        <v/>
      </c>
      <c r="L27" s="59"/>
      <c r="M27" s="26"/>
      <c r="N27" s="26"/>
      <c r="O27" s="60"/>
      <c r="P27" s="9" t="str">
        <f t="shared" si="6"/>
        <v/>
      </c>
      <c r="Q27" s="59"/>
      <c r="R27" s="26"/>
      <c r="S27" s="26"/>
      <c r="T27" s="60"/>
      <c r="U27" s="67"/>
      <c r="V27" s="68"/>
      <c r="W27" s="3" t="b">
        <f t="shared" si="7"/>
        <v>0</v>
      </c>
      <c r="X27" s="3" t="b">
        <f t="shared" si="8"/>
        <v>0</v>
      </c>
    </row>
    <row r="28" spans="1:24" ht="20.45" customHeight="1" x14ac:dyDescent="0.25">
      <c r="A28" s="27"/>
      <c r="B28" s="8" t="str">
        <f t="shared" si="0"/>
        <v/>
      </c>
      <c r="C28" s="9" t="str">
        <f t="shared" si="1"/>
        <v/>
      </c>
      <c r="D28" s="10" t="str">
        <f t="shared" si="2"/>
        <v/>
      </c>
      <c r="E28" s="10" t="str">
        <f t="shared" si="3"/>
        <v/>
      </c>
      <c r="F28" s="11" t="str">
        <f t="shared" si="4"/>
        <v/>
      </c>
      <c r="G28" s="59"/>
      <c r="H28" s="26"/>
      <c r="I28" s="26"/>
      <c r="J28" s="60"/>
      <c r="K28" s="9" t="str">
        <f t="shared" si="5"/>
        <v/>
      </c>
      <c r="L28" s="59"/>
      <c r="M28" s="26"/>
      <c r="N28" s="26"/>
      <c r="O28" s="60"/>
      <c r="P28" s="9" t="str">
        <f t="shared" si="6"/>
        <v/>
      </c>
      <c r="Q28" s="59"/>
      <c r="R28" s="26"/>
      <c r="S28" s="26"/>
      <c r="T28" s="60"/>
      <c r="U28" s="67"/>
      <c r="V28" s="68"/>
      <c r="W28" s="3" t="b">
        <f t="shared" si="7"/>
        <v>0</v>
      </c>
      <c r="X28" s="3" t="b">
        <f t="shared" si="8"/>
        <v>0</v>
      </c>
    </row>
    <row r="29" spans="1:24" ht="20.45" customHeight="1" x14ac:dyDescent="0.25">
      <c r="A29" s="27"/>
      <c r="B29" s="8" t="str">
        <f t="shared" si="0"/>
        <v/>
      </c>
      <c r="C29" s="9" t="str">
        <f t="shared" si="1"/>
        <v/>
      </c>
      <c r="D29" s="10" t="str">
        <f t="shared" si="2"/>
        <v/>
      </c>
      <c r="E29" s="10" t="str">
        <f t="shared" si="3"/>
        <v/>
      </c>
      <c r="F29" s="11" t="str">
        <f t="shared" si="4"/>
        <v/>
      </c>
      <c r="G29" s="61"/>
      <c r="H29" s="26"/>
      <c r="I29" s="26"/>
      <c r="J29" s="60"/>
      <c r="K29" s="9" t="str">
        <f t="shared" si="5"/>
        <v/>
      </c>
      <c r="L29" s="61"/>
      <c r="M29" s="26"/>
      <c r="N29" s="26"/>
      <c r="O29" s="60"/>
      <c r="P29" s="9" t="str">
        <f t="shared" si="6"/>
        <v/>
      </c>
      <c r="Q29" s="61"/>
      <c r="R29" s="26"/>
      <c r="S29" s="26"/>
      <c r="T29" s="60"/>
      <c r="U29" s="67"/>
      <c r="V29" s="68"/>
      <c r="W29" s="3" t="b">
        <f t="shared" si="7"/>
        <v>0</v>
      </c>
      <c r="X29" s="3" t="b">
        <f t="shared" si="8"/>
        <v>0</v>
      </c>
    </row>
    <row r="30" spans="1:24" ht="20.45" customHeight="1" x14ac:dyDescent="0.25">
      <c r="A30" s="27"/>
      <c r="B30" s="8" t="str">
        <f t="shared" si="0"/>
        <v/>
      </c>
      <c r="C30" s="9" t="str">
        <f t="shared" si="1"/>
        <v/>
      </c>
      <c r="D30" s="10" t="str">
        <f t="shared" si="2"/>
        <v/>
      </c>
      <c r="E30" s="10" t="str">
        <f t="shared" si="3"/>
        <v/>
      </c>
      <c r="F30" s="11" t="str">
        <f t="shared" si="4"/>
        <v/>
      </c>
      <c r="G30" s="61"/>
      <c r="H30" s="26"/>
      <c r="I30" s="26"/>
      <c r="J30" s="60"/>
      <c r="K30" s="9" t="str">
        <f t="shared" si="5"/>
        <v/>
      </c>
      <c r="L30" s="61"/>
      <c r="M30" s="26"/>
      <c r="N30" s="26"/>
      <c r="O30" s="60"/>
      <c r="P30" s="9" t="str">
        <f t="shared" si="6"/>
        <v/>
      </c>
      <c r="Q30" s="61"/>
      <c r="R30" s="26"/>
      <c r="S30" s="26"/>
      <c r="T30" s="60"/>
      <c r="U30" s="67"/>
      <c r="V30" s="68"/>
      <c r="W30" s="3" t="b">
        <f t="shared" si="7"/>
        <v>0</v>
      </c>
      <c r="X30" s="3" t="b">
        <f t="shared" si="8"/>
        <v>0</v>
      </c>
    </row>
    <row r="31" spans="1:24" ht="20.45" customHeight="1" x14ac:dyDescent="0.25">
      <c r="A31" s="27"/>
      <c r="B31" s="8" t="str">
        <f t="shared" si="0"/>
        <v/>
      </c>
      <c r="C31" s="9" t="str">
        <f t="shared" si="1"/>
        <v/>
      </c>
      <c r="D31" s="10" t="str">
        <f t="shared" si="2"/>
        <v/>
      </c>
      <c r="E31" s="10" t="str">
        <f t="shared" si="3"/>
        <v/>
      </c>
      <c r="F31" s="11" t="str">
        <f t="shared" si="4"/>
        <v/>
      </c>
      <c r="G31" s="59"/>
      <c r="H31" s="26"/>
      <c r="I31" s="26"/>
      <c r="J31" s="60"/>
      <c r="K31" s="9" t="str">
        <f t="shared" si="5"/>
        <v/>
      </c>
      <c r="L31" s="59"/>
      <c r="M31" s="26"/>
      <c r="N31" s="26"/>
      <c r="O31" s="60"/>
      <c r="P31" s="9" t="str">
        <f t="shared" si="6"/>
        <v/>
      </c>
      <c r="Q31" s="59"/>
      <c r="R31" s="26"/>
      <c r="S31" s="26"/>
      <c r="T31" s="60"/>
      <c r="U31" s="67"/>
      <c r="V31" s="68"/>
      <c r="W31" s="3" t="b">
        <f t="shared" si="7"/>
        <v>0</v>
      </c>
      <c r="X31" s="3" t="b">
        <f t="shared" si="8"/>
        <v>0</v>
      </c>
    </row>
    <row r="32" spans="1:24" ht="20.45" customHeight="1" x14ac:dyDescent="0.25">
      <c r="A32" s="27"/>
      <c r="B32" s="8" t="str">
        <f t="shared" si="0"/>
        <v/>
      </c>
      <c r="C32" s="9" t="str">
        <f t="shared" si="1"/>
        <v/>
      </c>
      <c r="D32" s="10" t="str">
        <f t="shared" si="2"/>
        <v/>
      </c>
      <c r="E32" s="10" t="str">
        <f t="shared" si="3"/>
        <v/>
      </c>
      <c r="F32" s="11" t="str">
        <f t="shared" si="4"/>
        <v/>
      </c>
      <c r="G32" s="59"/>
      <c r="H32" s="26"/>
      <c r="I32" s="26"/>
      <c r="J32" s="60"/>
      <c r="K32" s="9" t="str">
        <f t="shared" si="5"/>
        <v/>
      </c>
      <c r="L32" s="59"/>
      <c r="M32" s="26"/>
      <c r="N32" s="26"/>
      <c r="O32" s="60"/>
      <c r="P32" s="9" t="str">
        <f t="shared" si="6"/>
        <v/>
      </c>
      <c r="Q32" s="59"/>
      <c r="R32" s="26"/>
      <c r="S32" s="26"/>
      <c r="T32" s="60"/>
      <c r="U32" s="67"/>
      <c r="V32" s="68"/>
      <c r="W32" s="3" t="b">
        <f t="shared" si="7"/>
        <v>0</v>
      </c>
      <c r="X32" s="3" t="b">
        <f t="shared" si="8"/>
        <v>0</v>
      </c>
    </row>
    <row r="33" spans="1:24" ht="20.45" customHeight="1" x14ac:dyDescent="0.25">
      <c r="A33" s="27"/>
      <c r="B33" s="8" t="str">
        <f t="shared" si="0"/>
        <v/>
      </c>
      <c r="C33" s="9" t="str">
        <f t="shared" si="1"/>
        <v/>
      </c>
      <c r="D33" s="10" t="str">
        <f t="shared" si="2"/>
        <v/>
      </c>
      <c r="E33" s="10" t="str">
        <f t="shared" si="3"/>
        <v/>
      </c>
      <c r="F33" s="11" t="str">
        <f t="shared" si="4"/>
        <v/>
      </c>
      <c r="G33" s="61"/>
      <c r="H33" s="26"/>
      <c r="I33" s="26"/>
      <c r="J33" s="60"/>
      <c r="K33" s="9" t="str">
        <f t="shared" si="5"/>
        <v/>
      </c>
      <c r="L33" s="61"/>
      <c r="M33" s="26"/>
      <c r="N33" s="26"/>
      <c r="O33" s="60"/>
      <c r="P33" s="9" t="str">
        <f t="shared" si="6"/>
        <v/>
      </c>
      <c r="Q33" s="61"/>
      <c r="R33" s="26"/>
      <c r="S33" s="26"/>
      <c r="T33" s="60"/>
      <c r="U33" s="67"/>
      <c r="V33" s="68"/>
      <c r="W33" s="3" t="b">
        <f t="shared" si="7"/>
        <v>0</v>
      </c>
      <c r="X33" s="3" t="b">
        <f t="shared" si="8"/>
        <v>0</v>
      </c>
    </row>
    <row r="34" spans="1:24" ht="20.45" customHeight="1" thickBot="1" x14ac:dyDescent="0.3">
      <c r="A34" s="55"/>
      <c r="B34" s="12" t="str">
        <f t="shared" si="0"/>
        <v/>
      </c>
      <c r="C34" s="13" t="str">
        <f t="shared" si="1"/>
        <v/>
      </c>
      <c r="D34" s="14" t="str">
        <f t="shared" si="2"/>
        <v/>
      </c>
      <c r="E34" s="14" t="str">
        <f t="shared" si="3"/>
        <v/>
      </c>
      <c r="F34" s="15" t="str">
        <f t="shared" si="4"/>
        <v/>
      </c>
      <c r="G34" s="62"/>
      <c r="H34" s="63"/>
      <c r="I34" s="63"/>
      <c r="J34" s="64"/>
      <c r="K34" s="13" t="str">
        <f t="shared" si="5"/>
        <v/>
      </c>
      <c r="L34" s="62"/>
      <c r="M34" s="63"/>
      <c r="N34" s="63"/>
      <c r="O34" s="64"/>
      <c r="P34" s="13" t="str">
        <f t="shared" si="6"/>
        <v/>
      </c>
      <c r="Q34" s="62"/>
      <c r="R34" s="63"/>
      <c r="S34" s="63"/>
      <c r="T34" s="64"/>
      <c r="U34" s="69"/>
      <c r="V34" s="70"/>
      <c r="W34" s="3" t="b">
        <f t="shared" si="7"/>
        <v>0</v>
      </c>
      <c r="X34" s="3" t="b">
        <f t="shared" si="8"/>
        <v>0</v>
      </c>
    </row>
    <row r="35" spans="1:24" hidden="1" x14ac:dyDescent="0.25">
      <c r="H35" s="30" t="b">
        <f>AND(COUNTBLANK(H3:I34)&lt;64,MOD(COUNTBLANK(H3:I34),4)=0,OR(SUM(H3:H34)&lt;&gt;SUM(I3:I34), OR(H36:H67)))</f>
        <v>0</v>
      </c>
      <c r="M35" s="30" t="b">
        <f>AND(COUNTBLANK(M3:N34)&lt;64,MOD(COUNTBLANK(M3:N34),4)=0,OR(SUM(M3:M34)&lt;&gt;SUM(N3:N34), OR(M36:M67)))</f>
        <v>0</v>
      </c>
      <c r="R35" s="30" t="b">
        <f>AND(COUNTBLANK(R3:S34)&lt;64,MOD(COUNTBLANK(R3:S34),4)=0,OR(SUM(R3:R34)&lt;&gt;SUM(S3:S34), OR(R36:R67)))</f>
        <v>0</v>
      </c>
    </row>
    <row r="36" spans="1:24" hidden="1" x14ac:dyDescent="0.25">
      <c r="H36" s="30" t="b">
        <f>IF(ISBLANK(H3), FALSE, ISERROR(MATCH(H3, $I$3:$I$34,0)))</f>
        <v>0</v>
      </c>
      <c r="M36" s="30" t="b">
        <f>IF(ISBLANK(M3), FALSE, ISERROR(MATCH(M3, $N$3:$N$34,0)))</f>
        <v>0</v>
      </c>
      <c r="R36" s="30" t="b">
        <f>IF(ISBLANK(R3), FALSE, ISERROR(MATCH(R3, $S$3:$S$34,0)))</f>
        <v>0</v>
      </c>
    </row>
    <row r="37" spans="1:24" hidden="1" x14ac:dyDescent="0.25">
      <c r="H37" s="30" t="b">
        <f t="shared" ref="H37:H67" si="9">IF(ISBLANK(H4), FALSE, ISERROR(MATCH(H4, $I$3:$I$34,0)))</f>
        <v>0</v>
      </c>
      <c r="M37" s="30" t="b">
        <f t="shared" ref="M37:M67" si="10">IF(ISBLANK(M4), FALSE, ISERROR(MATCH(M4, $N$3:$N$34,0)))</f>
        <v>0</v>
      </c>
      <c r="R37" s="30" t="b">
        <f t="shared" ref="R37:R67" si="11">IF(ISBLANK(R4), FALSE, ISERROR(MATCH(R4, $S$3:$S$34,0)))</f>
        <v>0</v>
      </c>
    </row>
    <row r="38" spans="1:24" hidden="1" x14ac:dyDescent="0.25">
      <c r="H38" s="30" t="b">
        <f t="shared" si="9"/>
        <v>0</v>
      </c>
      <c r="M38" s="30" t="b">
        <f t="shared" si="10"/>
        <v>0</v>
      </c>
      <c r="R38" s="30" t="b">
        <f t="shared" si="11"/>
        <v>0</v>
      </c>
    </row>
    <row r="39" spans="1:24" hidden="1" x14ac:dyDescent="0.25">
      <c r="H39" s="30" t="b">
        <f t="shared" si="9"/>
        <v>0</v>
      </c>
      <c r="M39" s="30" t="b">
        <f t="shared" si="10"/>
        <v>0</v>
      </c>
      <c r="R39" s="30" t="b">
        <f t="shared" si="11"/>
        <v>0</v>
      </c>
    </row>
    <row r="40" spans="1:24" hidden="1" x14ac:dyDescent="0.25">
      <c r="H40" s="30" t="b">
        <f t="shared" si="9"/>
        <v>0</v>
      </c>
      <c r="M40" s="30" t="b">
        <f t="shared" si="10"/>
        <v>0</v>
      </c>
      <c r="R40" s="30" t="b">
        <f t="shared" si="11"/>
        <v>0</v>
      </c>
    </row>
    <row r="41" spans="1:24" hidden="1" x14ac:dyDescent="0.25">
      <c r="H41" s="30" t="b">
        <f t="shared" si="9"/>
        <v>0</v>
      </c>
      <c r="M41" s="30" t="b">
        <f t="shared" si="10"/>
        <v>0</v>
      </c>
      <c r="R41" s="30" t="b">
        <f t="shared" si="11"/>
        <v>0</v>
      </c>
    </row>
    <row r="42" spans="1:24" hidden="1" x14ac:dyDescent="0.25">
      <c r="H42" s="30" t="b">
        <f t="shared" si="9"/>
        <v>0</v>
      </c>
      <c r="M42" s="30" t="b">
        <f t="shared" si="10"/>
        <v>0</v>
      </c>
      <c r="R42" s="30" t="b">
        <f t="shared" si="11"/>
        <v>0</v>
      </c>
    </row>
    <row r="43" spans="1:24" hidden="1" x14ac:dyDescent="0.25">
      <c r="H43" s="30" t="b">
        <f t="shared" si="9"/>
        <v>0</v>
      </c>
      <c r="M43" s="30" t="b">
        <f t="shared" si="10"/>
        <v>0</v>
      </c>
      <c r="R43" s="30" t="b">
        <f t="shared" si="11"/>
        <v>0</v>
      </c>
    </row>
    <row r="44" spans="1:24" hidden="1" x14ac:dyDescent="0.25">
      <c r="H44" s="30" t="b">
        <f t="shared" si="9"/>
        <v>0</v>
      </c>
      <c r="M44" s="30" t="b">
        <f t="shared" si="10"/>
        <v>0</v>
      </c>
      <c r="R44" s="30" t="b">
        <f t="shared" si="11"/>
        <v>0</v>
      </c>
    </row>
    <row r="45" spans="1:24" hidden="1" x14ac:dyDescent="0.25">
      <c r="H45" s="30" t="b">
        <f t="shared" si="9"/>
        <v>0</v>
      </c>
      <c r="M45" s="30" t="b">
        <f t="shared" si="10"/>
        <v>0</v>
      </c>
      <c r="R45" s="30" t="b">
        <f t="shared" si="11"/>
        <v>0</v>
      </c>
    </row>
    <row r="46" spans="1:24" hidden="1" x14ac:dyDescent="0.25">
      <c r="H46" s="30" t="b">
        <f t="shared" si="9"/>
        <v>0</v>
      </c>
      <c r="M46" s="30" t="b">
        <f t="shared" si="10"/>
        <v>0</v>
      </c>
      <c r="R46" s="30" t="b">
        <f t="shared" si="11"/>
        <v>0</v>
      </c>
    </row>
    <row r="47" spans="1:24" hidden="1" x14ac:dyDescent="0.25">
      <c r="H47" s="30" t="b">
        <f t="shared" si="9"/>
        <v>0</v>
      </c>
      <c r="M47" s="30" t="b">
        <f t="shared" si="10"/>
        <v>0</v>
      </c>
      <c r="R47" s="30" t="b">
        <f t="shared" si="11"/>
        <v>0</v>
      </c>
    </row>
    <row r="48" spans="1:24" hidden="1" x14ac:dyDescent="0.25">
      <c r="H48" s="30" t="b">
        <f t="shared" si="9"/>
        <v>0</v>
      </c>
      <c r="M48" s="30" t="b">
        <f t="shared" si="10"/>
        <v>0</v>
      </c>
      <c r="R48" s="30" t="b">
        <f t="shared" si="11"/>
        <v>0</v>
      </c>
    </row>
    <row r="49" spans="8:18" hidden="1" x14ac:dyDescent="0.25">
      <c r="H49" s="30" t="b">
        <f t="shared" si="9"/>
        <v>0</v>
      </c>
      <c r="M49" s="30" t="b">
        <f t="shared" si="10"/>
        <v>0</v>
      </c>
      <c r="R49" s="30" t="b">
        <f t="shared" si="11"/>
        <v>0</v>
      </c>
    </row>
    <row r="50" spans="8:18" hidden="1" x14ac:dyDescent="0.25">
      <c r="H50" s="30" t="b">
        <f t="shared" si="9"/>
        <v>0</v>
      </c>
      <c r="M50" s="30" t="b">
        <f t="shared" si="10"/>
        <v>0</v>
      </c>
      <c r="R50" s="30" t="b">
        <f t="shared" si="11"/>
        <v>0</v>
      </c>
    </row>
    <row r="51" spans="8:18" hidden="1" x14ac:dyDescent="0.25">
      <c r="H51" s="30" t="b">
        <f t="shared" si="9"/>
        <v>0</v>
      </c>
      <c r="M51" s="30" t="b">
        <f t="shared" si="10"/>
        <v>0</v>
      </c>
      <c r="R51" s="30" t="b">
        <f t="shared" si="11"/>
        <v>0</v>
      </c>
    </row>
    <row r="52" spans="8:18" hidden="1" x14ac:dyDescent="0.25">
      <c r="H52" s="30" t="b">
        <f t="shared" si="9"/>
        <v>0</v>
      </c>
      <c r="M52" s="30" t="b">
        <f t="shared" si="10"/>
        <v>0</v>
      </c>
      <c r="R52" s="30" t="b">
        <f t="shared" si="11"/>
        <v>0</v>
      </c>
    </row>
    <row r="53" spans="8:18" hidden="1" x14ac:dyDescent="0.25">
      <c r="H53" s="30" t="b">
        <f t="shared" si="9"/>
        <v>0</v>
      </c>
      <c r="M53" s="30" t="b">
        <f t="shared" si="10"/>
        <v>0</v>
      </c>
      <c r="R53" s="30" t="b">
        <f t="shared" si="11"/>
        <v>0</v>
      </c>
    </row>
    <row r="54" spans="8:18" hidden="1" x14ac:dyDescent="0.25">
      <c r="H54" s="30" t="b">
        <f t="shared" si="9"/>
        <v>0</v>
      </c>
      <c r="M54" s="30" t="b">
        <f t="shared" si="10"/>
        <v>0</v>
      </c>
      <c r="R54" s="30" t="b">
        <f t="shared" si="11"/>
        <v>0</v>
      </c>
    </row>
    <row r="55" spans="8:18" hidden="1" x14ac:dyDescent="0.25">
      <c r="H55" s="30" t="b">
        <f t="shared" si="9"/>
        <v>0</v>
      </c>
      <c r="M55" s="30" t="b">
        <f t="shared" si="10"/>
        <v>0</v>
      </c>
      <c r="R55" s="30" t="b">
        <f t="shared" si="11"/>
        <v>0</v>
      </c>
    </row>
    <row r="56" spans="8:18" hidden="1" x14ac:dyDescent="0.25">
      <c r="H56" s="30" t="b">
        <f t="shared" si="9"/>
        <v>0</v>
      </c>
      <c r="M56" s="30" t="b">
        <f t="shared" si="10"/>
        <v>0</v>
      </c>
      <c r="R56" s="30" t="b">
        <f t="shared" si="11"/>
        <v>0</v>
      </c>
    </row>
    <row r="57" spans="8:18" hidden="1" x14ac:dyDescent="0.25">
      <c r="H57" s="30" t="b">
        <f t="shared" si="9"/>
        <v>0</v>
      </c>
      <c r="M57" s="30" t="b">
        <f t="shared" si="10"/>
        <v>0</v>
      </c>
      <c r="R57" s="30" t="b">
        <f t="shared" si="11"/>
        <v>0</v>
      </c>
    </row>
    <row r="58" spans="8:18" hidden="1" x14ac:dyDescent="0.25">
      <c r="H58" s="30" t="b">
        <f t="shared" si="9"/>
        <v>0</v>
      </c>
      <c r="M58" s="30" t="b">
        <f t="shared" si="10"/>
        <v>0</v>
      </c>
      <c r="R58" s="30" t="b">
        <f t="shared" si="11"/>
        <v>0</v>
      </c>
    </row>
    <row r="59" spans="8:18" hidden="1" x14ac:dyDescent="0.25">
      <c r="H59" s="30" t="b">
        <f t="shared" si="9"/>
        <v>0</v>
      </c>
      <c r="M59" s="30" t="b">
        <f t="shared" si="10"/>
        <v>0</v>
      </c>
      <c r="R59" s="30" t="b">
        <f t="shared" si="11"/>
        <v>0</v>
      </c>
    </row>
    <row r="60" spans="8:18" hidden="1" x14ac:dyDescent="0.25">
      <c r="H60" s="30" t="b">
        <f t="shared" si="9"/>
        <v>0</v>
      </c>
      <c r="M60" s="30" t="b">
        <f t="shared" si="10"/>
        <v>0</v>
      </c>
      <c r="R60" s="30" t="b">
        <f t="shared" si="11"/>
        <v>0</v>
      </c>
    </row>
    <row r="61" spans="8:18" hidden="1" x14ac:dyDescent="0.25">
      <c r="H61" s="30" t="b">
        <f t="shared" si="9"/>
        <v>0</v>
      </c>
      <c r="M61" s="30" t="b">
        <f t="shared" si="10"/>
        <v>0</v>
      </c>
      <c r="R61" s="30" t="b">
        <f t="shared" si="11"/>
        <v>0</v>
      </c>
    </row>
    <row r="62" spans="8:18" hidden="1" x14ac:dyDescent="0.25">
      <c r="H62" s="30" t="b">
        <f t="shared" si="9"/>
        <v>0</v>
      </c>
      <c r="M62" s="30" t="b">
        <f t="shared" si="10"/>
        <v>0</v>
      </c>
      <c r="R62" s="30" t="b">
        <f t="shared" si="11"/>
        <v>0</v>
      </c>
    </row>
    <row r="63" spans="8:18" hidden="1" x14ac:dyDescent="0.25">
      <c r="H63" s="30" t="b">
        <f t="shared" si="9"/>
        <v>0</v>
      </c>
      <c r="M63" s="30" t="b">
        <f t="shared" si="10"/>
        <v>0</v>
      </c>
      <c r="R63" s="30" t="b">
        <f t="shared" si="11"/>
        <v>0</v>
      </c>
    </row>
    <row r="64" spans="8:18" hidden="1" x14ac:dyDescent="0.25">
      <c r="H64" s="30" t="b">
        <f t="shared" si="9"/>
        <v>0</v>
      </c>
      <c r="M64" s="30" t="b">
        <f t="shared" si="10"/>
        <v>0</v>
      </c>
      <c r="R64" s="30" t="b">
        <f t="shared" si="11"/>
        <v>0</v>
      </c>
    </row>
    <row r="65" spans="8:18" hidden="1" x14ac:dyDescent="0.25">
      <c r="H65" s="30" t="b">
        <f t="shared" si="9"/>
        <v>0</v>
      </c>
      <c r="M65" s="30" t="b">
        <f t="shared" si="10"/>
        <v>0</v>
      </c>
      <c r="R65" s="30" t="b">
        <f t="shared" si="11"/>
        <v>0</v>
      </c>
    </row>
    <row r="66" spans="8:18" hidden="1" x14ac:dyDescent="0.25">
      <c r="H66" s="30" t="b">
        <f t="shared" si="9"/>
        <v>0</v>
      </c>
      <c r="M66" s="30" t="b">
        <f t="shared" si="10"/>
        <v>0</v>
      </c>
      <c r="R66" s="30" t="b">
        <f t="shared" si="11"/>
        <v>0</v>
      </c>
    </row>
    <row r="67" spans="8:18" hidden="1" x14ac:dyDescent="0.25">
      <c r="H67" s="30" t="b">
        <f t="shared" si="9"/>
        <v>0</v>
      </c>
      <c r="M67" s="30" t="b">
        <f t="shared" si="10"/>
        <v>0</v>
      </c>
      <c r="R67" s="30" t="b">
        <f t="shared" si="11"/>
        <v>0</v>
      </c>
    </row>
    <row r="235" spans="8:8" x14ac:dyDescent="0.25">
      <c r="H235" s="30" t="str">
        <f t="shared" ref="H235:H258" si="12">IF(ISERROR(MATCH(H202, $I$3:$I$34,0)), "", H202)</f>
        <v/>
      </c>
    </row>
    <row r="236" spans="8:8" x14ac:dyDescent="0.25">
      <c r="H236" s="30" t="str">
        <f t="shared" si="12"/>
        <v/>
      </c>
    </row>
    <row r="237" spans="8:8" x14ac:dyDescent="0.25">
      <c r="H237" s="30" t="str">
        <f t="shared" si="12"/>
        <v/>
      </c>
    </row>
    <row r="238" spans="8:8" x14ac:dyDescent="0.25">
      <c r="H238" s="30" t="str">
        <f t="shared" si="12"/>
        <v/>
      </c>
    </row>
    <row r="239" spans="8:8" x14ac:dyDescent="0.25">
      <c r="H239" s="30" t="str">
        <f t="shared" si="12"/>
        <v/>
      </c>
    </row>
    <row r="240" spans="8:8" x14ac:dyDescent="0.25">
      <c r="H240" s="30" t="str">
        <f t="shared" si="12"/>
        <v/>
      </c>
    </row>
    <row r="241" spans="8:8" x14ac:dyDescent="0.25">
      <c r="H241" s="30" t="str">
        <f t="shared" si="12"/>
        <v/>
      </c>
    </row>
    <row r="242" spans="8:8" x14ac:dyDescent="0.25">
      <c r="H242" s="30" t="str">
        <f t="shared" si="12"/>
        <v/>
      </c>
    </row>
    <row r="243" spans="8:8" x14ac:dyDescent="0.25">
      <c r="H243" s="30" t="str">
        <f t="shared" si="12"/>
        <v/>
      </c>
    </row>
    <row r="244" spans="8:8" x14ac:dyDescent="0.25">
      <c r="H244" s="30" t="str">
        <f t="shared" si="12"/>
        <v/>
      </c>
    </row>
    <row r="245" spans="8:8" x14ac:dyDescent="0.25">
      <c r="H245" s="30" t="str">
        <f t="shared" si="12"/>
        <v/>
      </c>
    </row>
    <row r="246" spans="8:8" x14ac:dyDescent="0.25">
      <c r="H246" s="30" t="str">
        <f t="shared" si="12"/>
        <v/>
      </c>
    </row>
    <row r="247" spans="8:8" x14ac:dyDescent="0.25">
      <c r="H247" s="30" t="str">
        <f t="shared" si="12"/>
        <v/>
      </c>
    </row>
    <row r="248" spans="8:8" x14ac:dyDescent="0.25">
      <c r="H248" s="30" t="str">
        <f t="shared" si="12"/>
        <v/>
      </c>
    </row>
    <row r="249" spans="8:8" x14ac:dyDescent="0.25">
      <c r="H249" s="30" t="str">
        <f t="shared" si="12"/>
        <v/>
      </c>
    </row>
    <row r="250" spans="8:8" x14ac:dyDescent="0.25">
      <c r="H250" s="30" t="str">
        <f t="shared" si="12"/>
        <v/>
      </c>
    </row>
    <row r="251" spans="8:8" x14ac:dyDescent="0.25">
      <c r="H251" s="30" t="str">
        <f t="shared" si="12"/>
        <v/>
      </c>
    </row>
    <row r="252" spans="8:8" x14ac:dyDescent="0.25">
      <c r="H252" s="30" t="str">
        <f t="shared" si="12"/>
        <v/>
      </c>
    </row>
    <row r="253" spans="8:8" x14ac:dyDescent="0.25">
      <c r="H253" s="30" t="str">
        <f t="shared" si="12"/>
        <v/>
      </c>
    </row>
    <row r="254" spans="8:8" x14ac:dyDescent="0.25">
      <c r="H254" s="30" t="str">
        <f t="shared" si="12"/>
        <v/>
      </c>
    </row>
    <row r="255" spans="8:8" x14ac:dyDescent="0.25">
      <c r="H255" s="30" t="str">
        <f t="shared" si="12"/>
        <v/>
      </c>
    </row>
    <row r="256" spans="8:8" x14ac:dyDescent="0.25">
      <c r="H256" s="30" t="str">
        <f t="shared" si="12"/>
        <v/>
      </c>
    </row>
    <row r="257" spans="8:8" x14ac:dyDescent="0.25">
      <c r="H257" s="30" t="str">
        <f t="shared" si="12"/>
        <v/>
      </c>
    </row>
    <row r="258" spans="8:8" x14ac:dyDescent="0.25">
      <c r="H258" s="30" t="str">
        <f t="shared" si="12"/>
        <v/>
      </c>
    </row>
  </sheetData>
  <sheetProtection sheet="1" objects="1" scenarios="1" selectLockedCells="1"/>
  <sortState ref="A3:V34">
    <sortCondition ref="B3:B34"/>
  </sortState>
  <mergeCells count="8">
    <mergeCell ref="U1:U2"/>
    <mergeCell ref="V1:V2"/>
    <mergeCell ref="P1:S1"/>
    <mergeCell ref="C1:F1"/>
    <mergeCell ref="A1:A2"/>
    <mergeCell ref="B1:B2"/>
    <mergeCell ref="G1:I1"/>
    <mergeCell ref="K1:N1"/>
  </mergeCells>
  <conditionalFormatting sqref="H3:I34">
    <cfRule type="expression" dxfId="2" priority="3">
      <formula>$H$35</formula>
    </cfRule>
  </conditionalFormatting>
  <conditionalFormatting sqref="M3:N34">
    <cfRule type="expression" dxfId="1" priority="2">
      <formula>$M$35</formula>
    </cfRule>
  </conditionalFormatting>
  <conditionalFormatting sqref="R3:S34">
    <cfRule type="expression" dxfId="0" priority="1">
      <formula>$R$35</formula>
    </cfRule>
  </conditionalFormatting>
  <pageMargins left="0.7" right="0.7" top="0.75" bottom="0.75" header="0.3" footer="0.3"/>
  <pageSetup scale="5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Rank3">
                <anchor moveWithCells="1" sizeWithCells="1">
                  <from>
                    <xdr:col>1</xdr:col>
                    <xdr:colOff>0</xdr:colOff>
                    <xdr:row>0</xdr:row>
                    <xdr:rowOff>19050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Instructions</vt:lpstr>
      <vt:lpstr>Wins-For-Plus-Against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Neil</dc:creator>
  <cp:lastModifiedBy>Neil</cp:lastModifiedBy>
  <cp:lastPrinted>2016-08-14T20:49:39Z</cp:lastPrinted>
  <dcterms:created xsi:type="dcterms:W3CDTF">2016-08-13T21:11:38Z</dcterms:created>
  <dcterms:modified xsi:type="dcterms:W3CDTF">2017-06-27T17:29:42Z</dcterms:modified>
</cp:coreProperties>
</file>