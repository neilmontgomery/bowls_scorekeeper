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a\Documents\To Neil\"/>
    </mc:Choice>
  </mc:AlternateContent>
  <xr:revisionPtr revIDLastSave="0" documentId="8_{DDF4A66B-495E-464D-BC3D-5F698B784C92}" xr6:coauthVersionLast="43" xr6:coauthVersionMax="43" xr10:uidLastSave="{00000000-0000-0000-0000-000000000000}"/>
  <bookViews>
    <workbookView xWindow="20370" yWindow="-120" windowWidth="29040" windowHeight="16440" activeTab="1" xr2:uid="{00000000-000D-0000-FFFF-FFFF00000000}"/>
  </bookViews>
  <sheets>
    <sheet name="Instructions" sheetId="2" r:id="rId1"/>
    <sheet name="Wins-For-Plus-Against" sheetId="1" r:id="rId2"/>
    <sheet name="Game 1 Draw" sheetId="3" r:id="rId3"/>
    <sheet name="Game 2 Draw" sheetId="4" r:id="rId4"/>
    <sheet name="Game 3 Draw" sheetId="5" r:id="rId5"/>
  </sheets>
  <definedNames>
    <definedName name="Against">'Wins-For-Plus-Against'!$F$3:$F$34</definedName>
    <definedName name="For">'Wins-For-Plus-Against'!$D$3:$D$34</definedName>
    <definedName name="Plus">'Wins-For-Plus-Against'!$E$3:$E$34</definedName>
    <definedName name="Rink1">'Wins-For-Plus-Against'!$G$3:$G$34</definedName>
    <definedName name="Rink2">'Wins-For-Plus-Against'!$L$3:$L$34</definedName>
    <definedName name="Rink3">'Wins-For-Plus-Against'!$Q$3:$Q$34</definedName>
    <definedName name="Teams">'Wins-For-Plus-Against'!$A$3:$A$34</definedName>
    <definedName name="Wins">'Wins-For-Plus-Against'!$C$3:$C$34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" i="1" l="1"/>
  <c r="AD4" i="1" l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H36" i="1" l="1"/>
  <c r="K9" i="1"/>
  <c r="K4" i="1"/>
  <c r="K12" i="1"/>
  <c r="K7" i="1"/>
  <c r="K8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6" i="1"/>
  <c r="P7" i="1"/>
  <c r="W3" i="1"/>
  <c r="X3" i="1"/>
  <c r="AA3" i="1"/>
  <c r="AB3" i="1"/>
  <c r="AC3" i="1"/>
  <c r="AD3" i="1"/>
  <c r="P12" i="1"/>
  <c r="W4" i="1"/>
  <c r="X4" i="1"/>
  <c r="P4" i="1"/>
  <c r="W5" i="1"/>
  <c r="X5" i="1"/>
  <c r="P9" i="1"/>
  <c r="W6" i="1"/>
  <c r="X6" i="1"/>
  <c r="Z5" i="1" l="1"/>
  <c r="Z6" i="1" s="1"/>
  <c r="Z3" i="1"/>
  <c r="Z4" i="1" s="1"/>
  <c r="I17" i="5" l="1" a="1"/>
  <c r="I17" i="5" s="1"/>
  <c r="L17" i="5" s="1" a="1"/>
  <c r="L17" i="5" s="1"/>
  <c r="I16" i="5" a="1"/>
  <c r="I16" i="5" s="1"/>
  <c r="J16" i="5" s="1" a="1"/>
  <c r="J16" i="5" s="1"/>
  <c r="I15" i="5" a="1"/>
  <c r="I15" i="5" s="1"/>
  <c r="M15" i="5" s="1" a="1"/>
  <c r="M15" i="5" s="1"/>
  <c r="I14" i="5" a="1"/>
  <c r="I14" i="5" s="1"/>
  <c r="L14" i="5" s="1" a="1"/>
  <c r="L14" i="5" s="1"/>
  <c r="I13" i="5" a="1"/>
  <c r="I13" i="5" s="1"/>
  <c r="M13" i="5" s="1" a="1"/>
  <c r="M13" i="5" s="1"/>
  <c r="I12" i="5" a="1"/>
  <c r="I12" i="5" s="1"/>
  <c r="M12" i="5" s="1" a="1"/>
  <c r="M12" i="5" s="1"/>
  <c r="I11" i="5" a="1"/>
  <c r="I11" i="5" s="1"/>
  <c r="K11" i="5" s="1" a="1"/>
  <c r="K11" i="5" s="1"/>
  <c r="I10" i="5" a="1"/>
  <c r="I10" i="5" s="1"/>
  <c r="L10" i="5" s="1" a="1"/>
  <c r="L10" i="5" s="1"/>
  <c r="I9" i="5" a="1"/>
  <c r="I9" i="5" s="1"/>
  <c r="L9" i="5" s="1" a="1"/>
  <c r="L9" i="5" s="1"/>
  <c r="I8" i="5" a="1"/>
  <c r="I8" i="5" s="1"/>
  <c r="J8" i="5" s="1" a="1"/>
  <c r="J8" i="5" s="1"/>
  <c r="I7" i="5" a="1"/>
  <c r="I7" i="5" s="1"/>
  <c r="M7" i="5" s="1" a="1"/>
  <c r="M7" i="5" s="1"/>
  <c r="I6" i="5" a="1"/>
  <c r="I6" i="5" s="1"/>
  <c r="L6" i="5" s="1" a="1"/>
  <c r="L6" i="5" s="1"/>
  <c r="I5" i="5" a="1"/>
  <c r="I5" i="5" s="1"/>
  <c r="M5" i="5" s="1" a="1"/>
  <c r="M5" i="5" s="1"/>
  <c r="I4" i="5" a="1"/>
  <c r="I4" i="5" s="1"/>
  <c r="M4" i="5" s="1" a="1"/>
  <c r="M4" i="5" s="1"/>
  <c r="I3" i="5" a="1"/>
  <c r="I3" i="5" s="1"/>
  <c r="K3" i="5" s="1" a="1"/>
  <c r="K3" i="5" s="1"/>
  <c r="I2" i="5" a="1"/>
  <c r="I2" i="5" s="1"/>
  <c r="K2" i="5" s="1" a="1"/>
  <c r="K2" i="5" s="1"/>
  <c r="B17" i="5" a="1"/>
  <c r="B17" i="5" s="1"/>
  <c r="B16" i="5" a="1"/>
  <c r="B16" i="5" s="1"/>
  <c r="B15" i="5" a="1"/>
  <c r="B15" i="5" s="1"/>
  <c r="E15" i="5" s="1" a="1"/>
  <c r="E15" i="5" s="1"/>
  <c r="B14" i="5" a="1"/>
  <c r="B14" i="5" s="1"/>
  <c r="E14" i="5" s="1" a="1"/>
  <c r="E14" i="5" s="1"/>
  <c r="B13" i="5" a="1"/>
  <c r="B13" i="5" s="1"/>
  <c r="B12" i="5" a="1"/>
  <c r="B12" i="5" s="1"/>
  <c r="B11" i="5" a="1"/>
  <c r="B11" i="5" s="1"/>
  <c r="E11" i="5" s="1" a="1"/>
  <c r="E11" i="5" s="1"/>
  <c r="B10" i="5" a="1"/>
  <c r="B10" i="5" s="1"/>
  <c r="E10" i="5" s="1" a="1"/>
  <c r="E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E5" i="5" s="1" a="1"/>
  <c r="E5" i="5" s="1"/>
  <c r="B4" i="5" a="1"/>
  <c r="B4" i="5" s="1"/>
  <c r="F4" i="5" s="1" a="1"/>
  <c r="F4" i="5" s="1"/>
  <c r="B3" i="5" a="1"/>
  <c r="B3" i="5" s="1"/>
  <c r="E3" i="5" s="1" a="1"/>
  <c r="E3" i="5" s="1"/>
  <c r="B2" i="5" a="1"/>
  <c r="B2" i="5" s="1"/>
  <c r="F2" i="5" s="1" a="1"/>
  <c r="F2" i="5" s="1"/>
  <c r="I17" i="4" a="1"/>
  <c r="I17" i="4" s="1"/>
  <c r="J17" i="4" s="1" a="1"/>
  <c r="J17" i="4" s="1"/>
  <c r="I16" i="4" a="1"/>
  <c r="I16" i="4" s="1"/>
  <c r="L16" i="4" s="1" a="1"/>
  <c r="L16" i="4" s="1"/>
  <c r="I15" i="4" a="1"/>
  <c r="I15" i="4" s="1"/>
  <c r="L15" i="4" s="1" a="1"/>
  <c r="L15" i="4" s="1"/>
  <c r="I14" i="4" a="1"/>
  <c r="I14" i="4" s="1"/>
  <c r="L14" i="4" s="1" a="1"/>
  <c r="L14" i="4" s="1"/>
  <c r="I13" i="4" a="1"/>
  <c r="I13" i="4" s="1"/>
  <c r="M13" i="4" s="1" a="1"/>
  <c r="M13" i="4" s="1"/>
  <c r="I12" i="4" a="1"/>
  <c r="I12" i="4" s="1"/>
  <c r="K12" i="4" s="1" a="1"/>
  <c r="K12" i="4" s="1"/>
  <c r="I11" i="4" a="1"/>
  <c r="I11" i="4" s="1"/>
  <c r="M11" i="4" s="1" a="1"/>
  <c r="M11" i="4" s="1"/>
  <c r="I10" i="4" a="1"/>
  <c r="I10" i="4" s="1"/>
  <c r="J10" i="4" s="1" a="1"/>
  <c r="J10" i="4" s="1"/>
  <c r="I9" i="4" a="1"/>
  <c r="I9" i="4" s="1"/>
  <c r="I8" i="4" a="1"/>
  <c r="I8" i="4" s="1"/>
  <c r="I7" i="4" a="1"/>
  <c r="I7" i="4" s="1"/>
  <c r="L7" i="4" s="1" a="1"/>
  <c r="L7" i="4" s="1"/>
  <c r="I6" i="4" a="1"/>
  <c r="I6" i="4" s="1"/>
  <c r="M6" i="4" s="1" a="1"/>
  <c r="M6" i="4" s="1"/>
  <c r="I5" i="4" a="1"/>
  <c r="I5" i="4" s="1"/>
  <c r="M5" i="4" s="1" a="1"/>
  <c r="M5" i="4" s="1"/>
  <c r="I4" i="4" a="1"/>
  <c r="I4" i="4" s="1"/>
  <c r="K4" i="4" s="1" a="1"/>
  <c r="K4" i="4" s="1"/>
  <c r="I3" i="4" a="1"/>
  <c r="I3" i="4" s="1"/>
  <c r="M3" i="4" s="1" a="1"/>
  <c r="M3" i="4" s="1"/>
  <c r="I2" i="4" a="1"/>
  <c r="I2" i="4" s="1"/>
  <c r="J2" i="4" s="1" a="1"/>
  <c r="J2" i="4" s="1"/>
  <c r="B17" i="4" a="1"/>
  <c r="B17" i="4" s="1"/>
  <c r="F17" i="4" s="1" a="1"/>
  <c r="F17" i="4" s="1"/>
  <c r="B16" i="4" a="1"/>
  <c r="B16" i="4" s="1"/>
  <c r="F16" i="4" s="1" a="1"/>
  <c r="F16" i="4" s="1"/>
  <c r="B15" i="4" a="1"/>
  <c r="B15" i="4" s="1"/>
  <c r="B14" i="4" a="1"/>
  <c r="B14" i="4" s="1"/>
  <c r="B13" i="4" a="1"/>
  <c r="B13" i="4" s="1"/>
  <c r="B12" i="4" a="1"/>
  <c r="B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E3" i="4" s="1" a="1"/>
  <c r="E3" i="4" s="1"/>
  <c r="B2" i="4" a="1"/>
  <c r="B2" i="4" s="1"/>
  <c r="I17" i="3" a="1"/>
  <c r="I17" i="3" s="1"/>
  <c r="M17" i="3" s="1" a="1"/>
  <c r="M17" i="3" s="1"/>
  <c r="I16" i="3" a="1"/>
  <c r="I16" i="3" s="1"/>
  <c r="K16" i="3" s="1" a="1"/>
  <c r="K16" i="3" s="1"/>
  <c r="I15" i="3" a="1"/>
  <c r="I15" i="3" s="1"/>
  <c r="M15" i="3" s="1" a="1"/>
  <c r="M15" i="3" s="1"/>
  <c r="I14" i="3" a="1"/>
  <c r="I14" i="3" s="1"/>
  <c r="L14" i="3" s="1" a="1"/>
  <c r="L14" i="3" s="1"/>
  <c r="I13" i="3" a="1"/>
  <c r="I13" i="3" s="1"/>
  <c r="J13" i="3" s="1" a="1"/>
  <c r="J13" i="3" s="1"/>
  <c r="I12" i="3" a="1"/>
  <c r="I12" i="3" s="1"/>
  <c r="J12" i="3" s="1" a="1"/>
  <c r="J12" i="3" s="1"/>
  <c r="I11" i="3" a="1"/>
  <c r="I11" i="3" s="1"/>
  <c r="K11" i="3" s="1" a="1"/>
  <c r="K11" i="3" s="1"/>
  <c r="I10" i="3" a="1"/>
  <c r="I10" i="3" s="1"/>
  <c r="M10" i="3" s="1" a="1"/>
  <c r="M10" i="3" s="1"/>
  <c r="I9" i="3" a="1"/>
  <c r="I9" i="3" s="1"/>
  <c r="M9" i="3" s="1" a="1"/>
  <c r="M9" i="3" s="1"/>
  <c r="I8" i="3" a="1"/>
  <c r="I8" i="3" s="1"/>
  <c r="K8" i="3" s="1" a="1"/>
  <c r="K8" i="3" s="1"/>
  <c r="I7" i="3" a="1"/>
  <c r="I7" i="3" s="1"/>
  <c r="M7" i="3" s="1" a="1"/>
  <c r="M7" i="3" s="1"/>
  <c r="I6" i="3" a="1"/>
  <c r="I6" i="3" s="1"/>
  <c r="L6" i="3" s="1" a="1"/>
  <c r="L6" i="3" s="1"/>
  <c r="I5" i="3" a="1"/>
  <c r="I5" i="3" s="1"/>
  <c r="J5" i="3" s="1" a="1"/>
  <c r="J5" i="3" s="1"/>
  <c r="I4" i="3" a="1"/>
  <c r="I4" i="3" s="1"/>
  <c r="M4" i="3" s="1" a="1"/>
  <c r="M4" i="3" s="1"/>
  <c r="I3" i="3" a="1"/>
  <c r="I3" i="3" s="1"/>
  <c r="K3" i="3" s="1" a="1"/>
  <c r="K3" i="3" s="1"/>
  <c r="I2" i="3" a="1"/>
  <c r="I2" i="3" s="1"/>
  <c r="M2" i="3" s="1" a="1"/>
  <c r="M2" i="3" s="1"/>
  <c r="B17" i="3" a="1"/>
  <c r="B17" i="3" s="1"/>
  <c r="F17" i="3" s="1" a="1"/>
  <c r="F17" i="3" s="1"/>
  <c r="B16" i="3" a="1"/>
  <c r="B16" i="3" s="1"/>
  <c r="F16" i="3" s="1" a="1"/>
  <c r="F16" i="3" s="1"/>
  <c r="B15" i="3" a="1"/>
  <c r="B15" i="3" s="1"/>
  <c r="C15" i="3" s="1" a="1"/>
  <c r="C15" i="3" s="1"/>
  <c r="B14" i="3" a="1"/>
  <c r="B14" i="3" s="1"/>
  <c r="D14" i="3" s="1" a="1"/>
  <c r="D14" i="3" s="1"/>
  <c r="B13" i="3" a="1"/>
  <c r="B13" i="3" s="1"/>
  <c r="B12" i="3" a="1"/>
  <c r="B12" i="3" s="1"/>
  <c r="B11" i="3" a="1"/>
  <c r="B11" i="3" s="1"/>
  <c r="B9" i="3" a="1"/>
  <c r="B9" i="3" s="1"/>
  <c r="B8" i="3" a="1"/>
  <c r="B8" i="3" s="1"/>
  <c r="B7" i="3" a="1"/>
  <c r="B7" i="3" s="1"/>
  <c r="B6" i="3" a="1"/>
  <c r="B6" i="3" s="1"/>
  <c r="B5" i="3" a="1"/>
  <c r="B5" i="3" s="1"/>
  <c r="B4" i="3" a="1"/>
  <c r="B4" i="3" s="1"/>
  <c r="B10" i="3" a="1"/>
  <c r="B10" i="3" s="1"/>
  <c r="B3" i="3" a="1"/>
  <c r="B3" i="3" s="1"/>
  <c r="B2" i="3" a="1"/>
  <c r="B2" i="3" s="1"/>
  <c r="L8" i="5" l="1" a="1"/>
  <c r="L8" i="5" s="1"/>
  <c r="L11" i="5" a="1"/>
  <c r="L11" i="5" s="1"/>
  <c r="C14" i="5" a="1"/>
  <c r="C14" i="5" s="1"/>
  <c r="L13" i="5" a="1"/>
  <c r="L13" i="5" s="1"/>
  <c r="F14" i="5" a="1"/>
  <c r="F14" i="5" s="1"/>
  <c r="C4" i="5" a="1"/>
  <c r="C4" i="5" s="1"/>
  <c r="J5" i="5" a="1"/>
  <c r="J5" i="5" s="1"/>
  <c r="D14" i="5" a="1"/>
  <c r="D14" i="5" s="1"/>
  <c r="K5" i="5" a="1"/>
  <c r="K5" i="5" s="1"/>
  <c r="J13" i="5" a="1"/>
  <c r="J13" i="5" s="1"/>
  <c r="L5" i="5" a="1"/>
  <c r="L5" i="5" s="1"/>
  <c r="L16" i="5" a="1"/>
  <c r="L16" i="5" s="1"/>
  <c r="L8" i="3" a="1"/>
  <c r="L8" i="3" s="1"/>
  <c r="F3" i="5" a="1"/>
  <c r="F3" i="5" s="1"/>
  <c r="M6" i="5" a="1"/>
  <c r="M6" i="5" s="1"/>
  <c r="K13" i="5" a="1"/>
  <c r="K13" i="5" s="1"/>
  <c r="M8" i="3" a="1"/>
  <c r="M8" i="3" s="1"/>
  <c r="L7" i="3" a="1"/>
  <c r="L7" i="3" s="1"/>
  <c r="D15" i="3" a="1"/>
  <c r="D15" i="3" s="1"/>
  <c r="D4" i="5" a="1"/>
  <c r="D4" i="5" s="1"/>
  <c r="F11" i="5" a="1"/>
  <c r="F11" i="5" s="1"/>
  <c r="F15" i="5" a="1"/>
  <c r="F15" i="5" s="1"/>
  <c r="K7" i="5" a="1"/>
  <c r="K7" i="5" s="1"/>
  <c r="M14" i="5" a="1"/>
  <c r="M14" i="5" s="1"/>
  <c r="M4" i="4" a="1"/>
  <c r="M4" i="4" s="1"/>
  <c r="E15" i="3" a="1"/>
  <c r="E15" i="3" s="1"/>
  <c r="M14" i="3" a="1"/>
  <c r="M14" i="3" s="1"/>
  <c r="J7" i="5" a="1"/>
  <c r="J7" i="5" s="1"/>
  <c r="J3" i="4" a="1"/>
  <c r="J3" i="4" s="1"/>
  <c r="J9" i="3" a="1"/>
  <c r="J9" i="3" s="1"/>
  <c r="F5" i="5" a="1"/>
  <c r="F5" i="5" s="1"/>
  <c r="L7" i="5" a="1"/>
  <c r="L7" i="5" s="1"/>
  <c r="J15" i="5" a="1"/>
  <c r="J15" i="5" s="1"/>
  <c r="L11" i="4" a="1"/>
  <c r="L11" i="4" s="1"/>
  <c r="F15" i="3" a="1"/>
  <c r="F15" i="3" s="1"/>
  <c r="J15" i="3" a="1"/>
  <c r="J15" i="3" s="1"/>
  <c r="L15" i="5" a="1"/>
  <c r="L15" i="5" s="1"/>
  <c r="K7" i="3" a="1"/>
  <c r="K7" i="3" s="1"/>
  <c r="K16" i="5" a="1"/>
  <c r="K16" i="5" s="1"/>
  <c r="L3" i="5" a="1"/>
  <c r="L3" i="5" s="1"/>
  <c r="K8" i="5" a="1"/>
  <c r="K8" i="5" s="1"/>
  <c r="K15" i="5" a="1"/>
  <c r="K15" i="5" s="1"/>
  <c r="L12" i="4" a="1"/>
  <c r="L12" i="4" s="1"/>
  <c r="L3" i="3" a="1"/>
  <c r="L3" i="3" s="1"/>
  <c r="K15" i="3" a="1"/>
  <c r="K15" i="3" s="1"/>
  <c r="L15" i="3" a="1"/>
  <c r="L15" i="3" s="1"/>
  <c r="E14" i="3" a="1"/>
  <c r="E14" i="3" s="1"/>
  <c r="L5" i="3" a="1"/>
  <c r="L5" i="3" s="1"/>
  <c r="K9" i="3" a="1"/>
  <c r="K9" i="3" s="1"/>
  <c r="M16" i="3" a="1"/>
  <c r="M16" i="3" s="1"/>
  <c r="C14" i="3" a="1"/>
  <c r="C14" i="3" s="1"/>
  <c r="F14" i="3" a="1"/>
  <c r="F14" i="3" s="1"/>
  <c r="M6" i="3" a="1"/>
  <c r="M6" i="3" s="1"/>
  <c r="L11" i="3" a="1"/>
  <c r="L11" i="3" s="1"/>
  <c r="J17" i="3" a="1"/>
  <c r="J17" i="3" s="1"/>
  <c r="K5" i="3" a="1"/>
  <c r="K5" i="3" s="1"/>
  <c r="L16" i="3" a="1"/>
  <c r="L16" i="3" s="1"/>
  <c r="J7" i="3" a="1"/>
  <c r="J7" i="3" s="1"/>
  <c r="K13" i="3" a="1"/>
  <c r="K13" i="3" s="1"/>
  <c r="K17" i="3" a="1"/>
  <c r="K17" i="3" s="1"/>
  <c r="C3" i="4" a="1"/>
  <c r="C3" i="4" s="1"/>
  <c r="F3" i="4" a="1"/>
  <c r="F3" i="4" s="1"/>
  <c r="K3" i="4" a="1"/>
  <c r="K3" i="4" s="1"/>
  <c r="K17" i="4" a="1"/>
  <c r="K17" i="4" s="1"/>
  <c r="L3" i="4" a="1"/>
  <c r="L3" i="4" s="1"/>
  <c r="M10" i="4" a="1"/>
  <c r="M10" i="4" s="1"/>
  <c r="J11" i="4" a="1"/>
  <c r="J11" i="4" s="1"/>
  <c r="M9" i="5" a="1"/>
  <c r="M9" i="5" s="1"/>
  <c r="M17" i="5" a="1"/>
  <c r="M17" i="5" s="1"/>
  <c r="J2" i="5" a="1"/>
  <c r="J2" i="5" s="1"/>
  <c r="J10" i="5" a="1"/>
  <c r="J10" i="5" s="1"/>
  <c r="C2" i="5" a="1"/>
  <c r="C2" i="5" s="1"/>
  <c r="M3" i="5" a="1"/>
  <c r="M3" i="5" s="1"/>
  <c r="M11" i="5" a="1"/>
  <c r="M11" i="5" s="1"/>
  <c r="E2" i="5" a="1"/>
  <c r="E2" i="5" s="1"/>
  <c r="E4" i="5" a="1"/>
  <c r="E4" i="5" s="1"/>
  <c r="L2" i="5" a="1"/>
  <c r="L2" i="5" s="1"/>
  <c r="J4" i="5" a="1"/>
  <c r="J4" i="5" s="1"/>
  <c r="F10" i="5" a="1"/>
  <c r="F10" i="5" s="1"/>
  <c r="J9" i="5" a="1"/>
  <c r="J9" i="5" s="1"/>
  <c r="K12" i="5" a="1"/>
  <c r="K12" i="5" s="1"/>
  <c r="J17" i="5" a="1"/>
  <c r="J17" i="5" s="1"/>
  <c r="C3" i="5" a="1"/>
  <c r="C3" i="5" s="1"/>
  <c r="C5" i="5" a="1"/>
  <c r="C5" i="5" s="1"/>
  <c r="C11" i="5" a="1"/>
  <c r="C11" i="5" s="1"/>
  <c r="C15" i="5" a="1"/>
  <c r="C15" i="5" s="1"/>
  <c r="M2" i="5" a="1"/>
  <c r="M2" i="5" s="1"/>
  <c r="L4" i="5" a="1"/>
  <c r="L4" i="5" s="1"/>
  <c r="J6" i="5" a="1"/>
  <c r="J6" i="5" s="1"/>
  <c r="K9" i="5" a="1"/>
  <c r="K9" i="5" s="1"/>
  <c r="M10" i="5" a="1"/>
  <c r="M10" i="5" s="1"/>
  <c r="L12" i="5" a="1"/>
  <c r="L12" i="5" s="1"/>
  <c r="J14" i="5" a="1"/>
  <c r="J14" i="5" s="1"/>
  <c r="K17" i="5" a="1"/>
  <c r="K17" i="5" s="1"/>
  <c r="D2" i="5" a="1"/>
  <c r="D2" i="5" s="1"/>
  <c r="C10" i="5" a="1"/>
  <c r="C10" i="5" s="1"/>
  <c r="D10" i="5" a="1"/>
  <c r="D10" i="5" s="1"/>
  <c r="K10" i="5" a="1"/>
  <c r="K10" i="5" s="1"/>
  <c r="M8" i="5" a="1"/>
  <c r="M8" i="5" s="1"/>
  <c r="J12" i="5" a="1"/>
  <c r="J12" i="5" s="1"/>
  <c r="M16" i="5" a="1"/>
  <c r="M16" i="5" s="1"/>
  <c r="K4" i="5" a="1"/>
  <c r="K4" i="5" s="1"/>
  <c r="D3" i="5" a="1"/>
  <c r="D3" i="5" s="1"/>
  <c r="D5" i="5" a="1"/>
  <c r="D5" i="5" s="1"/>
  <c r="D11" i="5" a="1"/>
  <c r="D11" i="5" s="1"/>
  <c r="D15" i="5" a="1"/>
  <c r="D15" i="5" s="1"/>
  <c r="J3" i="5" a="1"/>
  <c r="J3" i="5" s="1"/>
  <c r="K6" i="5" a="1"/>
  <c r="K6" i="5" s="1"/>
  <c r="J11" i="5" a="1"/>
  <c r="J11" i="5" s="1"/>
  <c r="K14" i="5" a="1"/>
  <c r="K14" i="5" s="1"/>
  <c r="L17" i="4" a="1"/>
  <c r="L17" i="4" s="1"/>
  <c r="L4" i="4" a="1"/>
  <c r="L4" i="4" s="1"/>
  <c r="K11" i="4" a="1"/>
  <c r="K11" i="4" s="1"/>
  <c r="K13" i="4" a="1"/>
  <c r="K13" i="4" s="1"/>
  <c r="D17" i="4" a="1"/>
  <c r="D17" i="4" s="1"/>
  <c r="D3" i="4" a="1"/>
  <c r="D3" i="4" s="1"/>
  <c r="E17" i="4" a="1"/>
  <c r="E17" i="4" s="1"/>
  <c r="K5" i="4" a="1"/>
  <c r="K5" i="4" s="1"/>
  <c r="M12" i="4" a="1"/>
  <c r="M12" i="4" s="1"/>
  <c r="C17" i="4" a="1"/>
  <c r="C17" i="4" s="1"/>
  <c r="J5" i="4" a="1"/>
  <c r="J5" i="4" s="1"/>
  <c r="M2" i="4" a="1"/>
  <c r="M2" i="4" s="1"/>
  <c r="J13" i="4" a="1"/>
  <c r="J13" i="4" s="1"/>
  <c r="J14" i="4" a="1"/>
  <c r="J14" i="4" s="1"/>
  <c r="M17" i="4" a="1"/>
  <c r="M17" i="4" s="1"/>
  <c r="M14" i="4" a="1"/>
  <c r="M14" i="4" s="1"/>
  <c r="D16" i="4" a="1"/>
  <c r="D16" i="4" s="1"/>
  <c r="K2" i="4" a="1"/>
  <c r="K2" i="4" s="1"/>
  <c r="L5" i="4" a="1"/>
  <c r="L5" i="4" s="1"/>
  <c r="J7" i="4" a="1"/>
  <c r="J7" i="4" s="1"/>
  <c r="K10" i="4" a="1"/>
  <c r="K10" i="4" s="1"/>
  <c r="L13" i="4" a="1"/>
  <c r="L13" i="4" s="1"/>
  <c r="J15" i="4" a="1"/>
  <c r="J15" i="4" s="1"/>
  <c r="M15" i="4" a="1"/>
  <c r="M15" i="4" s="1"/>
  <c r="L6" i="4" a="1"/>
  <c r="L6" i="4" s="1"/>
  <c r="E16" i="4" a="1"/>
  <c r="E16" i="4" s="1"/>
  <c r="L2" i="4" a="1"/>
  <c r="L2" i="4" s="1"/>
  <c r="J4" i="4" a="1"/>
  <c r="J4" i="4" s="1"/>
  <c r="K7" i="4" a="1"/>
  <c r="K7" i="4" s="1"/>
  <c r="L10" i="4" a="1"/>
  <c r="L10" i="4" s="1"/>
  <c r="J12" i="4" a="1"/>
  <c r="J12" i="4" s="1"/>
  <c r="K15" i="4" a="1"/>
  <c r="K15" i="4" s="1"/>
  <c r="M16" i="4" a="1"/>
  <c r="M16" i="4" s="1"/>
  <c r="J6" i="4" a="1"/>
  <c r="J6" i="4" s="1"/>
  <c r="K6" i="4" a="1"/>
  <c r="K6" i="4" s="1"/>
  <c r="M7" i="4" a="1"/>
  <c r="M7" i="4" s="1"/>
  <c r="K14" i="4" a="1"/>
  <c r="K14" i="4" s="1"/>
  <c r="J16" i="4" a="1"/>
  <c r="J16" i="4" s="1"/>
  <c r="K16" i="4" a="1"/>
  <c r="K16" i="4" s="1"/>
  <c r="C16" i="4" a="1"/>
  <c r="C16" i="4" s="1"/>
  <c r="J10" i="3" a="1"/>
  <c r="J10" i="3" s="1"/>
  <c r="K2" i="3" a="1"/>
  <c r="K2" i="3" s="1"/>
  <c r="M3" i="3" a="1"/>
  <c r="M3" i="3" s="1"/>
  <c r="K10" i="3" a="1"/>
  <c r="K10" i="3" s="1"/>
  <c r="M11" i="3" a="1"/>
  <c r="M11" i="3" s="1"/>
  <c r="J6" i="3" a="1"/>
  <c r="J6" i="3" s="1"/>
  <c r="J3" i="3" a="1"/>
  <c r="J3" i="3" s="1"/>
  <c r="L4" i="3" a="1"/>
  <c r="L4" i="3" s="1"/>
  <c r="K6" i="3" a="1"/>
  <c r="K6" i="3" s="1"/>
  <c r="J11" i="3" a="1"/>
  <c r="J11" i="3" s="1"/>
  <c r="L12" i="3" a="1"/>
  <c r="L12" i="3" s="1"/>
  <c r="K14" i="3" a="1"/>
  <c r="K14" i="3" s="1"/>
  <c r="J4" i="3" a="1"/>
  <c r="J4" i="3" s="1"/>
  <c r="L2" i="3" a="1"/>
  <c r="L2" i="3" s="1"/>
  <c r="K4" i="3" a="1"/>
  <c r="K4" i="3" s="1"/>
  <c r="M5" i="3" a="1"/>
  <c r="M5" i="3" s="1"/>
  <c r="L10" i="3" a="1"/>
  <c r="L10" i="3" s="1"/>
  <c r="K12" i="3" a="1"/>
  <c r="K12" i="3" s="1"/>
  <c r="M13" i="3" a="1"/>
  <c r="M13" i="3" s="1"/>
  <c r="J8" i="3" a="1"/>
  <c r="J8" i="3" s="1"/>
  <c r="L9" i="3" a="1"/>
  <c r="L9" i="3" s="1"/>
  <c r="M12" i="3" a="1"/>
  <c r="M12" i="3" s="1"/>
  <c r="J16" i="3" a="1"/>
  <c r="J16" i="3" s="1"/>
  <c r="L17" i="3" a="1"/>
  <c r="L17" i="3" s="1"/>
  <c r="J2" i="3" a="1"/>
  <c r="J2" i="3" s="1"/>
  <c r="L13" i="3" a="1"/>
  <c r="L13" i="3" s="1"/>
  <c r="J14" i="3" a="1"/>
  <c r="J14" i="3" s="1"/>
  <c r="D17" i="3" a="1"/>
  <c r="D17" i="3" s="1"/>
  <c r="C16" i="3" a="1"/>
  <c r="C16" i="3" s="1"/>
  <c r="D16" i="3" a="1"/>
  <c r="D16" i="3" s="1"/>
  <c r="E16" i="3" a="1"/>
  <c r="E16" i="3" s="1"/>
  <c r="C17" i="3" a="1"/>
  <c r="C17" i="3" s="1"/>
  <c r="E17" i="3" a="1"/>
  <c r="E17" i="3" s="1"/>
  <c r="P3" i="1"/>
  <c r="Z2" i="1"/>
  <c r="Z7" i="1" l="1"/>
  <c r="Z8" i="1" s="1"/>
  <c r="Z11" i="1"/>
  <c r="Z12" i="1" s="1"/>
  <c r="Z15" i="1"/>
  <c r="Z16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62" i="1"/>
  <c r="H63" i="1"/>
  <c r="H64" i="1"/>
  <c r="H65" i="1"/>
  <c r="H67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M35" i="1" l="1"/>
  <c r="H35" i="1"/>
  <c r="R35" i="1"/>
  <c r="K5" i="1"/>
  <c r="X11" i="1"/>
  <c r="P11" i="1"/>
  <c r="P8" i="1"/>
  <c r="P10" i="1"/>
  <c r="P6" i="1"/>
  <c r="P5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11" i="1"/>
  <c r="K10" i="1"/>
  <c r="K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AF33" i="1" l="1"/>
  <c r="AF34" i="1" s="1"/>
  <c r="AE33" i="1"/>
  <c r="AE34" i="1" s="1"/>
  <c r="AE25" i="1"/>
  <c r="AE26" i="1" s="1"/>
  <c r="AF25" i="1"/>
  <c r="AF26" i="1" s="1"/>
  <c r="AF17" i="1"/>
  <c r="AF18" i="1" s="1"/>
  <c r="AE17" i="1"/>
  <c r="AE18" i="1" s="1"/>
  <c r="AE7" i="1"/>
  <c r="AE8" i="1" s="1"/>
  <c r="AF7" i="1"/>
  <c r="AF8" i="1" s="1"/>
  <c r="AF5" i="1"/>
  <c r="AF6" i="1" s="1"/>
  <c r="AE5" i="1"/>
  <c r="AE6" i="1" s="1"/>
  <c r="AE29" i="1"/>
  <c r="AE30" i="1" s="1"/>
  <c r="AF29" i="1"/>
  <c r="AF30" i="1" s="1"/>
  <c r="AF21" i="1"/>
  <c r="AF22" i="1" s="1"/>
  <c r="AE21" i="1"/>
  <c r="AE22" i="1" s="1"/>
  <c r="AE13" i="1"/>
  <c r="AE14" i="1" s="1"/>
  <c r="AF13" i="1"/>
  <c r="AF14" i="1" s="1"/>
  <c r="AF11" i="1"/>
  <c r="AF12" i="1" s="1"/>
  <c r="AE11" i="1"/>
  <c r="AE12" i="1" s="1"/>
  <c r="AE3" i="1"/>
  <c r="AE4" i="1" s="1"/>
  <c r="AF3" i="1"/>
  <c r="AF4" i="1" s="1"/>
  <c r="AF31" i="1"/>
  <c r="AF32" i="1" s="1"/>
  <c r="AE31" i="1"/>
  <c r="AE32" i="1" s="1"/>
  <c r="AE27" i="1"/>
  <c r="AE28" i="1" s="1"/>
  <c r="AF27" i="1"/>
  <c r="AF28" i="1" s="1"/>
  <c r="AF23" i="1"/>
  <c r="AF24" i="1" s="1"/>
  <c r="AE23" i="1"/>
  <c r="AE24" i="1" s="1"/>
  <c r="AE19" i="1"/>
  <c r="AE20" i="1" s="1"/>
  <c r="AF19" i="1"/>
  <c r="AF20" i="1" s="1"/>
  <c r="AE15" i="1"/>
  <c r="AE16" i="1" s="1"/>
  <c r="AF15" i="1"/>
  <c r="AF16" i="1" s="1"/>
  <c r="AF9" i="1"/>
  <c r="AF10" i="1" s="1"/>
  <c r="AE9" i="1"/>
  <c r="AE10" i="1" s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12" i="1" l="1"/>
  <c r="C9" i="5" s="1" a="1"/>
  <c r="C9" i="5" s="1"/>
  <c r="C11" i="1"/>
  <c r="C9" i="1"/>
  <c r="C6" i="1"/>
  <c r="C12" i="5" s="1" a="1"/>
  <c r="C12" i="5" s="1"/>
  <c r="C7" i="1"/>
  <c r="C10" i="1"/>
  <c r="C8" i="1"/>
  <c r="C5" i="1"/>
  <c r="C17" i="5" s="1" a="1"/>
  <c r="C17" i="5" s="1"/>
  <c r="C4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C13" i="4" l="1" a="1"/>
  <c r="C13" i="4" s="1"/>
  <c r="C7" i="5" a="1"/>
  <c r="C7" i="5" s="1"/>
  <c r="C12" i="4" a="1"/>
  <c r="C12" i="4" s="1"/>
  <c r="C13" i="5" a="1"/>
  <c r="C13" i="5" s="1"/>
  <c r="C12" i="3" a="1"/>
  <c r="C12" i="3" s="1"/>
  <c r="C8" i="5" a="1"/>
  <c r="C8" i="5" s="1"/>
  <c r="C13" i="3" a="1"/>
  <c r="C13" i="3" s="1"/>
  <c r="J9" i="4" a="1"/>
  <c r="J9" i="4" s="1"/>
  <c r="C16" i="5" a="1"/>
  <c r="C16" i="5" s="1"/>
  <c r="C4" i="4" a="1"/>
  <c r="C4" i="4" s="1"/>
  <c r="C6" i="5" a="1"/>
  <c r="C6" i="5" s="1"/>
  <c r="C14" i="4" a="1"/>
  <c r="C14" i="4" s="1"/>
  <c r="C3" i="3" a="1"/>
  <c r="C3" i="3" s="1"/>
  <c r="C15" i="4" a="1"/>
  <c r="C15" i="4" s="1"/>
  <c r="C2" i="4" a="1"/>
  <c r="C2" i="4" s="1"/>
  <c r="J8" i="4" a="1"/>
  <c r="J8" i="4" s="1"/>
  <c r="C5" i="4" a="1"/>
  <c r="C5" i="4" s="1"/>
  <c r="C6" i="4" a="1"/>
  <c r="C6" i="4" s="1"/>
  <c r="C2" i="3" a="1"/>
  <c r="C2" i="3" s="1"/>
  <c r="C9" i="4" a="1"/>
  <c r="C9" i="4" s="1"/>
  <c r="C7" i="3" a="1"/>
  <c r="C7" i="3" s="1"/>
  <c r="C11" i="4" a="1"/>
  <c r="C11" i="4" s="1"/>
  <c r="C9" i="3" a="1"/>
  <c r="C9" i="3" s="1"/>
  <c r="C10" i="4" a="1"/>
  <c r="C10" i="4" s="1"/>
  <c r="C4" i="3" a="1"/>
  <c r="C4" i="3" s="1"/>
  <c r="C6" i="3" a="1"/>
  <c r="C6" i="3" s="1"/>
  <c r="C8" i="4" a="1"/>
  <c r="C8" i="4" s="1"/>
  <c r="C8" i="3" a="1"/>
  <c r="C8" i="3" s="1"/>
  <c r="C7" i="4" a="1"/>
  <c r="C7" i="4" s="1"/>
  <c r="C10" i="3" a="1"/>
  <c r="C10" i="3" s="1"/>
  <c r="C11" i="3" a="1"/>
  <c r="C11" i="3" s="1"/>
  <c r="C5" i="3" a="1"/>
  <c r="C5" i="3" s="1"/>
  <c r="F11" i="1"/>
  <c r="F3" i="1"/>
  <c r="F6" i="5" s="1" a="1"/>
  <c r="F6" i="5" s="1"/>
  <c r="F8" i="1"/>
  <c r="F10" i="1"/>
  <c r="F12" i="1"/>
  <c r="F9" i="5" s="1" a="1"/>
  <c r="F9" i="5" s="1"/>
  <c r="F7" i="1"/>
  <c r="F9" i="1"/>
  <c r="F5" i="1"/>
  <c r="F4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6" i="1"/>
  <c r="F12" i="5" s="1" a="1"/>
  <c r="F12" i="5" s="1"/>
  <c r="E11" i="1"/>
  <c r="E3" i="1"/>
  <c r="E6" i="5" s="1" a="1"/>
  <c r="E6" i="5" s="1"/>
  <c r="E8" i="1"/>
  <c r="E10" i="1"/>
  <c r="E12" i="1"/>
  <c r="E9" i="5" s="1" a="1"/>
  <c r="E9" i="5" s="1"/>
  <c r="E7" i="1"/>
  <c r="E9" i="1"/>
  <c r="E5" i="1"/>
  <c r="E4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6" i="1"/>
  <c r="E12" i="5" s="1" a="1"/>
  <c r="E12" i="5" s="1"/>
  <c r="D11" i="1"/>
  <c r="D3" i="1"/>
  <c r="D8" i="1"/>
  <c r="D10" i="1"/>
  <c r="D12" i="1"/>
  <c r="D9" i="5" s="1" a="1"/>
  <c r="D9" i="5" s="1"/>
  <c r="D7" i="1"/>
  <c r="D9" i="1"/>
  <c r="D5" i="1"/>
  <c r="D4" i="1"/>
  <c r="D13" i="1"/>
  <c r="B13" i="1" s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6" i="1"/>
  <c r="D12" i="5" s="1" a="1"/>
  <c r="D12" i="5" s="1"/>
  <c r="D13" i="4" l="1" a="1"/>
  <c r="D13" i="4" s="1"/>
  <c r="E13" i="4" a="1"/>
  <c r="E13" i="4" s="1"/>
  <c r="F13" i="4" a="1"/>
  <c r="F13" i="4" s="1"/>
  <c r="D12" i="4" a="1"/>
  <c r="D12" i="4" s="1"/>
  <c r="E12" i="4" a="1"/>
  <c r="E12" i="4" s="1"/>
  <c r="F12" i="4" a="1"/>
  <c r="F12" i="4" s="1"/>
  <c r="E13" i="5" a="1"/>
  <c r="E13" i="5" s="1"/>
  <c r="E12" i="3" a="1"/>
  <c r="E12" i="3" s="1"/>
  <c r="D8" i="5" a="1"/>
  <c r="D8" i="5" s="1"/>
  <c r="D13" i="3" a="1"/>
  <c r="D13" i="3" s="1"/>
  <c r="E8" i="5" a="1"/>
  <c r="E8" i="5" s="1"/>
  <c r="E13" i="3" a="1"/>
  <c r="E13" i="3" s="1"/>
  <c r="F8" i="5" a="1"/>
  <c r="F8" i="5" s="1"/>
  <c r="F13" i="3" a="1"/>
  <c r="F13" i="3" s="1"/>
  <c r="D13" i="5" a="1"/>
  <c r="D13" i="5" s="1"/>
  <c r="D12" i="3" a="1"/>
  <c r="D12" i="3" s="1"/>
  <c r="F13" i="5" a="1"/>
  <c r="F13" i="5" s="1"/>
  <c r="F12" i="3" a="1"/>
  <c r="F12" i="3" s="1"/>
  <c r="D6" i="5" a="1"/>
  <c r="D6" i="5" s="1"/>
  <c r="D2" i="3"/>
  <c r="F14" i="4" a="1"/>
  <c r="F14" i="4" s="1"/>
  <c r="F17" i="5" a="1"/>
  <c r="F17" i="5" s="1"/>
  <c r="D14" i="4" a="1"/>
  <c r="D14" i="4" s="1"/>
  <c r="D17" i="5" a="1"/>
  <c r="D17" i="5" s="1"/>
  <c r="E14" i="4" a="1"/>
  <c r="E14" i="4" s="1"/>
  <c r="E17" i="5" a="1"/>
  <c r="E17" i="5" s="1"/>
  <c r="M9" i="4" a="1"/>
  <c r="M9" i="4" s="1"/>
  <c r="F16" i="5" a="1"/>
  <c r="F16" i="5" s="1"/>
  <c r="K9" i="4" a="1"/>
  <c r="K9" i="4" s="1"/>
  <c r="D16" i="5" a="1"/>
  <c r="D16" i="5" s="1"/>
  <c r="L9" i="4" a="1"/>
  <c r="L9" i="4" s="1"/>
  <c r="E16" i="5" a="1"/>
  <c r="E16" i="5" s="1"/>
  <c r="F2" i="3" a="1"/>
  <c r="F2" i="3" s="1"/>
  <c r="F7" i="5" a="1"/>
  <c r="F7" i="5" s="1"/>
  <c r="D7" i="5" a="1"/>
  <c r="D7" i="5" s="1"/>
  <c r="E2" i="3" a="1"/>
  <c r="E2" i="3" s="1"/>
  <c r="E7" i="5" a="1"/>
  <c r="E7" i="5" s="1"/>
  <c r="F3" i="3" a="1"/>
  <c r="F3" i="3" s="1"/>
  <c r="F15" i="4" a="1"/>
  <c r="F15" i="4" s="1"/>
  <c r="D3" i="3" a="1"/>
  <c r="D3" i="3" s="1"/>
  <c r="D15" i="4" a="1"/>
  <c r="D15" i="4" s="1"/>
  <c r="E3" i="3" a="1"/>
  <c r="E3" i="3" s="1"/>
  <c r="E15" i="4" a="1"/>
  <c r="E15" i="4" s="1"/>
  <c r="F2" i="4" a="1"/>
  <c r="F2" i="4" s="1"/>
  <c r="M8" i="4" a="1"/>
  <c r="M8" i="4" s="1"/>
  <c r="D2" i="4" a="1"/>
  <c r="D2" i="4" s="1"/>
  <c r="K8" i="4" a="1"/>
  <c r="K8" i="4" s="1"/>
  <c r="E2" i="4" a="1"/>
  <c r="E2" i="4" s="1"/>
  <c r="L8" i="4" a="1"/>
  <c r="L8" i="4" s="1"/>
  <c r="E5" i="4" a="1"/>
  <c r="E5" i="4" s="1"/>
  <c r="D5" i="4" a="1"/>
  <c r="D5" i="4" s="1"/>
  <c r="F5" i="4" a="1"/>
  <c r="F5" i="4" s="1"/>
  <c r="D4" i="4" a="1"/>
  <c r="D4" i="4" s="1"/>
  <c r="E4" i="4" a="1"/>
  <c r="E4" i="4" s="1"/>
  <c r="F4" i="4" a="1"/>
  <c r="F4" i="4" s="1"/>
  <c r="F7" i="3" a="1"/>
  <c r="F7" i="3" s="1"/>
  <c r="F11" i="4" a="1"/>
  <c r="F11" i="4" s="1"/>
  <c r="D7" i="3" a="1"/>
  <c r="D7" i="3" s="1"/>
  <c r="D11" i="4" a="1"/>
  <c r="D11" i="4" s="1"/>
  <c r="E7" i="3" a="1"/>
  <c r="E7" i="3" s="1"/>
  <c r="E11" i="4" a="1"/>
  <c r="E11" i="4" s="1"/>
  <c r="F9" i="3" a="1"/>
  <c r="F9" i="3" s="1"/>
  <c r="F10" i="4" a="1"/>
  <c r="F10" i="4" s="1"/>
  <c r="D9" i="3" a="1"/>
  <c r="D9" i="3" s="1"/>
  <c r="D10" i="4" a="1"/>
  <c r="D10" i="4" s="1"/>
  <c r="E9" i="3" a="1"/>
  <c r="E9" i="3" s="1"/>
  <c r="E10" i="4" a="1"/>
  <c r="E10" i="4" s="1"/>
  <c r="F5" i="3" a="1"/>
  <c r="F5" i="3" s="1"/>
  <c r="F9" i="4" a="1"/>
  <c r="F9" i="4" s="1"/>
  <c r="D5" i="3" a="1"/>
  <c r="D5" i="3" s="1"/>
  <c r="D9" i="4" a="1"/>
  <c r="D9" i="4" s="1"/>
  <c r="E5" i="3" a="1"/>
  <c r="E5" i="3" s="1"/>
  <c r="E9" i="4" a="1"/>
  <c r="E9" i="4" s="1"/>
  <c r="F6" i="3" a="1"/>
  <c r="F6" i="3" s="1"/>
  <c r="F8" i="4" a="1"/>
  <c r="F8" i="4" s="1"/>
  <c r="D6" i="3" a="1"/>
  <c r="D6" i="3" s="1"/>
  <c r="D8" i="4" a="1"/>
  <c r="D8" i="4" s="1"/>
  <c r="E6" i="3" a="1"/>
  <c r="E6" i="3" s="1"/>
  <c r="E8" i="4" a="1"/>
  <c r="E8" i="4" s="1"/>
  <c r="F8" i="3" a="1"/>
  <c r="F8" i="3" s="1"/>
  <c r="F7" i="4" a="1"/>
  <c r="F7" i="4" s="1"/>
  <c r="E8" i="3" a="1"/>
  <c r="E8" i="3" s="1"/>
  <c r="E7" i="4" a="1"/>
  <c r="E7" i="4" s="1"/>
  <c r="D8" i="3" a="1"/>
  <c r="D8" i="3" s="1"/>
  <c r="D7" i="4" a="1"/>
  <c r="D7" i="4" s="1"/>
  <c r="F11" i="3" a="1"/>
  <c r="F11" i="3" s="1"/>
  <c r="F6" i="4" a="1"/>
  <c r="F6" i="4" s="1"/>
  <c r="D11" i="3" a="1"/>
  <c r="D11" i="3" s="1"/>
  <c r="D6" i="4" a="1"/>
  <c r="D6" i="4" s="1"/>
  <c r="E11" i="3" a="1"/>
  <c r="E11" i="3" s="1"/>
  <c r="E6" i="4" a="1"/>
  <c r="E6" i="4" s="1"/>
  <c r="D4" i="3" a="1"/>
  <c r="D4" i="3" s="1"/>
  <c r="E4" i="3" a="1"/>
  <c r="E4" i="3" s="1"/>
  <c r="F4" i="3" a="1"/>
  <c r="F4" i="3" s="1"/>
  <c r="F10" i="3" a="1"/>
  <c r="F10" i="3" s="1"/>
  <c r="D10" i="3" a="1"/>
  <c r="D10" i="3" s="1"/>
  <c r="E10" i="3" a="1"/>
  <c r="E10" i="3" s="1"/>
  <c r="B6" i="1"/>
  <c r="B7" i="1"/>
  <c r="B10" i="1"/>
  <c r="B4" i="1"/>
  <c r="B9" i="1"/>
  <c r="B3" i="1"/>
  <c r="B8" i="1"/>
  <c r="B5" i="1"/>
  <c r="B12" i="1"/>
  <c r="B11" i="1"/>
  <c r="Y1" i="1" l="1" a="1"/>
  <c r="Y1" i="1" s="1"/>
  <c r="Z1" i="1" a="1"/>
  <c r="Z1" i="1" s="1"/>
  <c r="Y6" i="1" s="1"/>
  <c r="Y17" i="1" l="1"/>
  <c r="Y32" i="1"/>
  <c r="Y21" i="1"/>
  <c r="Y22" i="1"/>
  <c r="Y10" i="1"/>
  <c r="Y7" i="1"/>
  <c r="Y13" i="1"/>
  <c r="Y19" i="1"/>
  <c r="Y9" i="1"/>
  <c r="Y8" i="1"/>
  <c r="Y14" i="1"/>
  <c r="Y5" i="1"/>
  <c r="Y3" i="1"/>
  <c r="Y18" i="1"/>
  <c r="Y24" i="1"/>
  <c r="Y31" i="1"/>
  <c r="Y28" i="1"/>
  <c r="Y23" i="1"/>
  <c r="Y20" i="1"/>
  <c r="Y4" i="1"/>
  <c r="Y34" i="1"/>
  <c r="Y25" i="1"/>
  <c r="Y16" i="1"/>
  <c r="Y26" i="1"/>
  <c r="Y33" i="1"/>
  <c r="Y15" i="1"/>
  <c r="Y30" i="1"/>
  <c r="Y29" i="1"/>
  <c r="Y12" i="1"/>
  <c r="Y27" i="1"/>
  <c r="Y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</author>
  </authors>
  <commentList>
    <comment ref="Y1" authorId="0" shapeId="0" xr:uid="{7D220806-463F-43E4-95C1-2DE4EB5C05EB}">
      <text>
        <r>
          <rPr>
            <sz val="9"/>
            <color indexed="81"/>
            <rFont val="Tahoma"/>
            <family val="2"/>
          </rPr>
          <t>Are the teams in order and have no scores for Game 2 been entered?</t>
        </r>
      </text>
    </comment>
    <comment ref="Z1" authorId="0" shapeId="0" xr:uid="{9CBE686D-65BF-42FD-AE17-88EA9ECB6B9A}">
      <text>
        <r>
          <rPr>
            <sz val="9"/>
            <color indexed="81"/>
            <rFont val="Tahoma"/>
            <family val="2"/>
          </rPr>
          <t>Are the teams currently in order AND are no scores entered for the third game?</t>
        </r>
      </text>
    </comment>
    <comment ref="Y2" authorId="0" shapeId="0" xr:uid="{7F380A25-F0A4-4756-A908-264839140D1A}">
      <text>
        <r>
          <rPr>
            <sz val="9"/>
            <color indexed="81"/>
            <rFont val="Tahoma"/>
            <family val="2"/>
          </rPr>
          <t>Have the scores for the first game been entered?</t>
        </r>
      </text>
    </comment>
    <comment ref="Z2" authorId="0" shapeId="0" xr:uid="{A51B8AAB-F081-4AAC-8A23-1A565EED9950}">
      <text>
        <r>
          <rPr>
            <sz val="9"/>
            <color indexed="81"/>
            <rFont val="Tahoma"/>
            <family val="2"/>
          </rPr>
          <t>Are the scores complete for the first two games?</t>
        </r>
      </text>
    </comment>
    <comment ref="W3" authorId="0" shapeId="0" xr:uid="{F7C9FF86-F4F4-4A13-A6C3-B99F73122FD3}">
      <text>
        <r>
          <rPr>
            <sz val="9"/>
            <color indexed="81"/>
            <rFont val="Tahoma"/>
            <family val="2"/>
          </rPr>
          <t>Duplicate rink for games 1 and 2?</t>
        </r>
      </text>
    </comment>
    <comment ref="X3" authorId="0" shapeId="0" xr:uid="{9C26E93F-5435-41F2-9F46-B38FB1AAC90F}">
      <text>
        <r>
          <rPr>
            <sz val="9"/>
            <color indexed="81"/>
            <rFont val="Tahoma"/>
            <family val="2"/>
          </rPr>
          <t>Duplicate rink in Games 1, 2, or 3?</t>
        </r>
      </text>
    </comment>
    <comment ref="Y3" authorId="0" shapeId="0" xr:uid="{66DFF6B7-4C4A-4BA7-AE3A-58FD8C131087}">
      <text>
        <r>
          <rPr>
            <sz val="9"/>
            <color indexed="81"/>
            <rFont val="Tahoma"/>
            <family val="2"/>
          </rPr>
          <t>Are the teams in order, and have the first two games been completed, and have this team and the one below played on 4 different rinks?</t>
        </r>
      </text>
    </comment>
    <comment ref="Z3" authorId="0" shapeId="0" xr:uid="{57312974-DFCD-47AF-BF3A-D929E952113F}">
      <text>
        <r>
          <rPr>
            <sz val="9"/>
            <color indexed="81"/>
            <rFont val="Tahoma"/>
            <family val="2"/>
          </rPr>
          <t>Count of number of unique rinks used by this team and the one below it.</t>
        </r>
      </text>
    </comment>
    <comment ref="AE3" authorId="0" shapeId="0" xr:uid="{BDC41F2B-0CFE-4E86-B18C-584C1BCC11F8}">
      <text>
        <r>
          <rPr>
            <sz val="9"/>
            <color indexed="81"/>
            <rFont val="Tahoma"/>
            <family val="2"/>
          </rPr>
          <t>Is there a team for this row, and did they play on the same rink in Game 1 as the team below?</t>
        </r>
      </text>
    </comment>
    <comment ref="AF3" authorId="0" shapeId="0" xr:uid="{A3726440-4F2D-48EC-8359-C6555416D3DE}">
      <text>
        <r>
          <rPr>
            <sz val="9"/>
            <color indexed="81"/>
            <rFont val="Tahoma"/>
            <family val="2"/>
          </rPr>
          <t>Is there a team for this row, and did they play on the same rink as the team below in either Game 1 or Game 2?</t>
        </r>
      </text>
    </comment>
  </commentList>
</comments>
</file>

<file path=xl/sharedStrings.xml><?xml version="1.0" encoding="utf-8"?>
<sst xmlns="http://schemas.openxmlformats.org/spreadsheetml/2006/main" count="62" uniqueCount="21">
  <si>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</si>
  <si>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</si>
  <si>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</si>
  <si>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</si>
  <si>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</si>
  <si>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</si>
  <si>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</si>
  <si>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</si>
  <si>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</si>
  <si>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</si>
  <si>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</si>
  <si>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</si>
  <si>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</si>
  <si>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</si>
  <si>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</si>
  <si>
    <t>RINK</t>
  </si>
  <si>
    <t>TEAMS</t>
  </si>
  <si>
    <t>WINS</t>
  </si>
  <si>
    <t>FOR</t>
  </si>
  <si>
    <t>AGAINST</t>
  </si>
  <si>
    <t>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</si>
</sst>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Tahoma"/>
      <family val="2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164" fontId="6" fillId="0" borderId="32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9" borderId="32" xfId="0" applyNumberFormat="1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64" fontId="6" fillId="9" borderId="0" xfId="0" applyNumberFormat="1" applyFont="1" applyFill="1" applyBorder="1" applyAlignment="1">
      <alignment horizontal="center" vertical="center"/>
    </xf>
    <xf numFmtId="0" fontId="6" fillId="9" borderId="39" xfId="0" applyFont="1" applyFill="1" applyBorder="1" applyAlignment="1">
      <alignment horizontal="center" vertical="center"/>
    </xf>
    <xf numFmtId="164" fontId="6" fillId="9" borderId="33" xfId="0" applyNumberFormat="1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164" fontId="1" fillId="6" borderId="8" xfId="0" applyNumberFormat="1" applyFont="1" applyFill="1" applyBorder="1" applyAlignment="1" applyProtection="1">
      <alignment horizontal="center" vertical="center"/>
    </xf>
    <xf numFmtId="164" fontId="1" fillId="6" borderId="11" xfId="0" applyNumberFormat="1" applyFont="1" applyFill="1" applyBorder="1" applyAlignment="1" applyProtection="1">
      <alignment horizontal="center" vertical="center"/>
    </xf>
    <xf numFmtId="164" fontId="1" fillId="6" borderId="14" xfId="0" applyNumberFormat="1" applyFont="1" applyFill="1" applyBorder="1" applyAlignment="1" applyProtection="1">
      <alignment horizontal="center" vertical="center"/>
    </xf>
    <xf numFmtId="0" fontId="0" fillId="0" borderId="38" xfId="0" applyBorder="1"/>
    <xf numFmtId="0" fontId="0" fillId="0" borderId="40" xfId="0" applyBorder="1"/>
    <xf numFmtId="0" fontId="2" fillId="0" borderId="0" xfId="0" applyFont="1" applyProtection="1">
      <protection locked="0" hidden="1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5" fillId="0" borderId="3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9" borderId="33" xfId="0" applyFont="1" applyFill="1" applyBorder="1" applyAlignment="1">
      <alignment horizontal="center" vertical="center"/>
    </xf>
  </cellXfs>
  <cellStyles count="1">
    <cellStyle name="Normal" xfId="0" builtinId="0"/>
  </cellStyles>
  <dxfs count="4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solid">
          <bgColor rgb="FFFFFF99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FF99"/>
      <color rgb="FFFFFFCC"/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A69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57150</xdr:rowOff>
        </xdr:from>
        <xdr:to>
          <xdr:col>13</xdr:col>
          <xdr:colOff>304800</xdr:colOff>
          <xdr:row>39</xdr:row>
          <xdr:rowOff>133350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0</xdr:rowOff>
        </xdr:from>
        <xdr:to>
          <xdr:col>0</xdr:col>
          <xdr:colOff>2057400</xdr:colOff>
          <xdr:row>1</xdr:row>
          <xdr:rowOff>123825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omit scores from display</a:t>
              </a:r>
            </a:p>
          </xdr:txBody>
        </xdr:sp>
        <xdr:clientData fLock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N2:O2"/>
  <sheetViews>
    <sheetView showGridLines="0" showRowColHeaders="0" workbookViewId="0">
      <selection activeCell="Q19" sqref="Q19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16384" width="8.85546875" style="1"/>
  </cols>
  <sheetData>
    <row r="2" spans="14:15" x14ac:dyDescent="0.3">
      <c r="N2" s="76"/>
      <c r="O2" s="76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257175</xdr:colOff>
                <xdr:row>1</xdr:row>
                <xdr:rowOff>57150</xdr:rowOff>
              </from>
              <to>
                <xdr:col>13</xdr:col>
                <xdr:colOff>304800</xdr:colOff>
                <xdr:row>39</xdr:row>
                <xdr:rowOff>133350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F258"/>
  <sheetViews>
    <sheetView showGridLines="0" tabSelected="1" zoomScale="90" zoomScaleNormal="90" workbookViewId="0">
      <selection activeCell="A8" sqref="A8"/>
    </sheetView>
  </sheetViews>
  <sheetFormatPr defaultColWidth="10.28515625" defaultRowHeight="15.75" zeroHeight="1" x14ac:dyDescent="0.25"/>
  <cols>
    <col min="1" max="1" width="33.28515625" style="29" customWidth="1"/>
    <col min="2" max="5" width="10.28515625" style="29"/>
    <col min="6" max="6" width="10.28515625" style="30"/>
    <col min="7" max="16" width="10.28515625" style="29"/>
    <col min="17" max="17" width="10.28515625" style="31"/>
    <col min="18" max="20" width="10.28515625" style="29"/>
    <col min="21" max="22" width="17.42578125" style="29" customWidth="1"/>
    <col min="23" max="23" width="10.28515625" style="29" hidden="1" customWidth="1"/>
    <col min="24" max="25" width="6.7109375" style="29" hidden="1" customWidth="1"/>
    <col min="26" max="30" width="10.28515625" style="29" hidden="1" customWidth="1"/>
    <col min="31" max="32" width="0" style="29" hidden="1" customWidth="1"/>
    <col min="33" max="16384" width="10.28515625" style="29"/>
  </cols>
  <sheetData>
    <row r="1" spans="1:32" ht="16.149999999999999" customHeight="1" thickBot="1" x14ac:dyDescent="0.3">
      <c r="A1" s="87" t="s">
        <v>0</v>
      </c>
      <c r="B1" s="89" t="s">
        <v>2</v>
      </c>
      <c r="C1" s="84" t="s">
        <v>1</v>
      </c>
      <c r="D1" s="85"/>
      <c r="E1" s="85"/>
      <c r="F1" s="86"/>
      <c r="G1" s="91" t="s">
        <v>7</v>
      </c>
      <c r="H1" s="92"/>
      <c r="I1" s="93"/>
      <c r="J1" s="2">
        <v>12</v>
      </c>
      <c r="K1" s="94" t="s">
        <v>8</v>
      </c>
      <c r="L1" s="95"/>
      <c r="M1" s="95"/>
      <c r="N1" s="96"/>
      <c r="O1" s="2">
        <v>12</v>
      </c>
      <c r="P1" s="81" t="s">
        <v>9</v>
      </c>
      <c r="Q1" s="82"/>
      <c r="R1" s="82"/>
      <c r="S1" s="83"/>
      <c r="T1" s="20">
        <v>12</v>
      </c>
      <c r="U1" s="77" t="s">
        <v>13</v>
      </c>
      <c r="V1" s="79" t="s">
        <v>13</v>
      </c>
      <c r="W1" s="3"/>
      <c r="X1" s="3"/>
      <c r="Y1" s="3" t="b">
        <f t="array" ref="Y1">AND(B3:B33&lt;=B4:B34, COUNTA(M3:N34)=0)</f>
        <v>1</v>
      </c>
      <c r="Z1" s="29" t="b">
        <f t="array" ref="Z1">AND(B3:B33&lt;=B4:B34, COUNTA(R3:S34)=0)</f>
        <v>1</v>
      </c>
    </row>
    <row r="2" spans="1:32" ht="48" thickBot="1" x14ac:dyDescent="0.3">
      <c r="A2" s="88"/>
      <c r="B2" s="90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7" t="s">
        <v>14</v>
      </c>
      <c r="M2" s="48" t="s">
        <v>3</v>
      </c>
      <c r="N2" s="48" t="s">
        <v>4</v>
      </c>
      <c r="O2" s="48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78"/>
      <c r="V2" s="80"/>
      <c r="W2" s="3"/>
      <c r="X2" s="3"/>
      <c r="Y2" s="3" t="b">
        <f>COUNTA(A3:A34)*3=COUNTA(G3:I34)</f>
        <v>1</v>
      </c>
      <c r="Z2" s="29" t="b">
        <f>COUNTA(A3:A34)*6=(COUNTA(G3:I34)+COUNTA(L3:N34))</f>
        <v>1</v>
      </c>
    </row>
    <row r="3" spans="1:32" ht="20.45" customHeight="1" x14ac:dyDescent="0.25">
      <c r="A3" s="26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70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2"/>
      <c r="H3" s="33"/>
      <c r="I3" s="33"/>
      <c r="J3" s="34"/>
      <c r="K3" s="4" t="str">
        <f>IF(ISBLANK(G3), "", G3)</f>
        <v/>
      </c>
      <c r="L3" s="49"/>
      <c r="M3" s="33"/>
      <c r="N3" s="33"/>
      <c r="O3" s="34"/>
      <c r="P3" s="4" t="str">
        <f>CONCATENATE(IF(NOT(ISBLANK(G3)), G3, ""),IF(NOT(ISBLANK(L3)), CONCATENATE(", ", L3), ""))</f>
        <v/>
      </c>
      <c r="Q3" s="49"/>
      <c r="R3" s="33"/>
      <c r="S3" s="33"/>
      <c r="T3" s="34"/>
      <c r="U3" s="41"/>
      <c r="V3" s="42"/>
      <c r="W3" s="3" t="b">
        <f>AND(L3=G3,NOT(ISBLANK(L3)),NOT(ISBLANK(G3)))</f>
        <v>0</v>
      </c>
      <c r="X3" s="3" t="b">
        <f>AND(OR(Q3=L3,Q3=G3),NOT(ISBLANK(Q3)))</f>
        <v>0</v>
      </c>
      <c r="Y3" s="3" t="b">
        <f t="shared" ref="Y3:Y34" si="0"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  <c r="AE3" s="29" t="b">
        <f>AND(NOT(ISBLANK(A3)), K3=K4)</f>
        <v>0</v>
      </c>
      <c r="AF3" s="29" t="b">
        <f>AND(NOT(ISBLANK(A3)), OR(K3=K4, P3=P4))</f>
        <v>0</v>
      </c>
    </row>
    <row r="4" spans="1:32" ht="20.45" customHeight="1" x14ac:dyDescent="0.25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71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5"/>
      <c r="H4" s="25"/>
      <c r="I4" s="25"/>
      <c r="J4" s="36"/>
      <c r="K4" s="8" t="str">
        <f>IF(ISBLANK(G4), "", G4)</f>
        <v/>
      </c>
      <c r="L4" s="37"/>
      <c r="M4" s="25"/>
      <c r="N4" s="25"/>
      <c r="O4" s="36"/>
      <c r="P4" s="8" t="str">
        <f>CONCATENATE(IF(NOT(ISBLANK(G4)), G4, ""),IF(NOT(ISBLANK(L4)), CONCATENATE(", ", L4), ""))</f>
        <v/>
      </c>
      <c r="Q4" s="37"/>
      <c r="R4" s="25"/>
      <c r="S4" s="25"/>
      <c r="T4" s="36"/>
      <c r="U4" s="43"/>
      <c r="V4" s="44"/>
      <c r="W4" s="3" t="b">
        <f t="shared" ref="W4:W34" si="1">AND(L4=G4,NOT(ISBLANK(L4)),NOT(ISBLANK(G4)))</f>
        <v>0</v>
      </c>
      <c r="X4" s="3" t="b">
        <f t="shared" ref="X4:X34" si="2">AND(OR(Q4=L4,Q4=G4),NOT(ISBLANK(Q4)))</f>
        <v>0</v>
      </c>
      <c r="Y4" s="3" t="b">
        <f t="shared" si="0"/>
        <v>0</v>
      </c>
      <c r="Z4" s="29">
        <f>Z3</f>
        <v>1</v>
      </c>
      <c r="AA4" s="29">
        <f t="shared" ref="AA4:AA34" si="3">G4</f>
        <v>0</v>
      </c>
      <c r="AB4" s="29">
        <f t="shared" ref="AB4:AB34" si="4">L4</f>
        <v>0</v>
      </c>
      <c r="AC4" s="29">
        <f t="shared" ref="AC4:AC34" si="5">G5</f>
        <v>0</v>
      </c>
      <c r="AD4" s="29">
        <f t="shared" ref="AD4:AD34" si="6">L5</f>
        <v>0</v>
      </c>
      <c r="AE4" s="29" t="b">
        <f>AE3</f>
        <v>0</v>
      </c>
      <c r="AF4" s="29" t="b">
        <f>AF3</f>
        <v>0</v>
      </c>
    </row>
    <row r="5" spans="1:32" ht="20.45" customHeight="1" x14ac:dyDescent="0.25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71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7"/>
      <c r="H5" s="25"/>
      <c r="I5" s="25"/>
      <c r="J5" s="36"/>
      <c r="K5" s="8" t="str">
        <f>IF(ISBLANK(G5), "", G5)</f>
        <v/>
      </c>
      <c r="L5" s="37"/>
      <c r="M5" s="25"/>
      <c r="N5" s="25"/>
      <c r="O5" s="36"/>
      <c r="P5" s="8" t="str">
        <f>CONCATENATE(IF(NOT(ISBLANK(G5)), G5, ""),IF(NOT(ISBLANK(L5)), CONCATENATE(", ", L5), ""))</f>
        <v/>
      </c>
      <c r="Q5" s="37"/>
      <c r="R5" s="25"/>
      <c r="S5" s="25"/>
      <c r="T5" s="36"/>
      <c r="U5" s="43"/>
      <c r="V5" s="44"/>
      <c r="W5" s="3" t="b">
        <f t="shared" si="1"/>
        <v>0</v>
      </c>
      <c r="X5" s="3" t="b">
        <f t="shared" si="2"/>
        <v>0</v>
      </c>
      <c r="Y5" s="3" t="b">
        <f t="shared" si="0"/>
        <v>0</v>
      </c>
      <c r="Z5" s="29">
        <f>SUMPRODUCT(1/COUNTIF(AA5:AD5, AA5:AD5))</f>
        <v>1</v>
      </c>
      <c r="AA5" s="29">
        <f t="shared" si="3"/>
        <v>0</v>
      </c>
      <c r="AB5" s="29">
        <f t="shared" si="4"/>
        <v>0</v>
      </c>
      <c r="AC5" s="29">
        <f t="shared" si="5"/>
        <v>0</v>
      </c>
      <c r="AD5" s="29">
        <f t="shared" si="6"/>
        <v>0</v>
      </c>
      <c r="AE5" s="29" t="b">
        <f>AND(NOT(ISBLANK(A5)), K5=K6)</f>
        <v>0</v>
      </c>
      <c r="AF5" s="29" t="b">
        <f t="shared" ref="AF5" si="7">AND(NOT(ISBLANK(A5)), OR(K5=K6, P5=P6))</f>
        <v>0</v>
      </c>
    </row>
    <row r="6" spans="1:32" ht="20.45" customHeight="1" x14ac:dyDescent="0.25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71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7"/>
      <c r="H6" s="25"/>
      <c r="I6" s="25"/>
      <c r="J6" s="36"/>
      <c r="K6" s="8" t="str">
        <f>IF(ISBLANK(G6), "", G6)</f>
        <v/>
      </c>
      <c r="L6" s="37"/>
      <c r="M6" s="25"/>
      <c r="N6" s="25"/>
      <c r="O6" s="36"/>
      <c r="P6" s="8" t="str">
        <f>CONCATENATE(IF(NOT(ISBLANK(G6)), G6, ""),IF(NOT(ISBLANK(L6)), CONCATENATE(", ", L6), ""))</f>
        <v/>
      </c>
      <c r="Q6" s="37"/>
      <c r="R6" s="25"/>
      <c r="S6" s="25"/>
      <c r="T6" s="36"/>
      <c r="U6" s="43"/>
      <c r="V6" s="44"/>
      <c r="W6" s="3" t="b">
        <f t="shared" si="1"/>
        <v>0</v>
      </c>
      <c r="X6" s="3" t="b">
        <f t="shared" si="2"/>
        <v>0</v>
      </c>
      <c r="Y6" s="3" t="b">
        <f t="shared" si="0"/>
        <v>0</v>
      </c>
      <c r="Z6" s="29">
        <f>Z5</f>
        <v>1</v>
      </c>
      <c r="AA6" s="29">
        <f t="shared" si="3"/>
        <v>0</v>
      </c>
      <c r="AB6" s="29">
        <f t="shared" si="4"/>
        <v>0</v>
      </c>
      <c r="AC6" s="29">
        <f t="shared" si="5"/>
        <v>0</v>
      </c>
      <c r="AD6" s="29">
        <f t="shared" si="6"/>
        <v>0</v>
      </c>
      <c r="AE6" s="29" t="b">
        <f>AE5</f>
        <v>0</v>
      </c>
      <c r="AF6" s="29" t="b">
        <f t="shared" ref="AF6:AF37" si="8">AF5</f>
        <v>0</v>
      </c>
    </row>
    <row r="7" spans="1:32" ht="20.45" customHeight="1" x14ac:dyDescent="0.25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71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5"/>
      <c r="H7" s="25"/>
      <c r="I7" s="25"/>
      <c r="J7" s="36"/>
      <c r="K7" s="8" t="str">
        <f>IF(ISBLANK(G7), "", G7)</f>
        <v/>
      </c>
      <c r="L7" s="37"/>
      <c r="M7" s="25"/>
      <c r="N7" s="25"/>
      <c r="O7" s="36"/>
      <c r="P7" s="8" t="str">
        <f>CONCATENATE(IF(NOT(ISBLANK(G7)), G7, ""),IF(NOT(ISBLANK(L7)), CONCATENATE(", ", L7), ""))</f>
        <v/>
      </c>
      <c r="Q7" s="37"/>
      <c r="R7" s="25"/>
      <c r="S7" s="25"/>
      <c r="T7" s="36"/>
      <c r="U7" s="43"/>
      <c r="V7" s="44"/>
      <c r="W7" s="3" t="b">
        <f t="shared" si="1"/>
        <v>0</v>
      </c>
      <c r="X7" s="3" t="b">
        <f t="shared" si="2"/>
        <v>0</v>
      </c>
      <c r="Y7" s="3" t="b">
        <f t="shared" si="0"/>
        <v>0</v>
      </c>
      <c r="Z7" s="29">
        <f>SUMPRODUCT(1/COUNTIF(AA7:AD7, AA7:AD7))</f>
        <v>1</v>
      </c>
      <c r="AA7" s="29">
        <f t="shared" si="3"/>
        <v>0</v>
      </c>
      <c r="AB7" s="29">
        <f t="shared" si="4"/>
        <v>0</v>
      </c>
      <c r="AC7" s="29">
        <f t="shared" si="5"/>
        <v>0</v>
      </c>
      <c r="AD7" s="29">
        <f t="shared" si="6"/>
        <v>0</v>
      </c>
      <c r="AE7" s="29" t="b">
        <f>AND(NOT(ISBLANK(A7)), K7=K8)</f>
        <v>0</v>
      </c>
      <c r="AF7" s="29" t="b">
        <f t="shared" ref="AF7" si="9">AND(NOT(ISBLANK(A7)), OR(K7=K8, P7=P8))</f>
        <v>0</v>
      </c>
    </row>
    <row r="8" spans="1:32" ht="20.45" customHeight="1" x14ac:dyDescent="0.25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71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5"/>
      <c r="H8" s="25"/>
      <c r="I8" s="25"/>
      <c r="J8" s="36"/>
      <c r="K8" s="8" t="str">
        <f>IF(ISBLANK(G8), "", G8)</f>
        <v/>
      </c>
      <c r="L8" s="37"/>
      <c r="M8" s="25"/>
      <c r="N8" s="25"/>
      <c r="O8" s="36"/>
      <c r="P8" s="8" t="str">
        <f>CONCATENATE(IF(NOT(ISBLANK(G8)), G8, ""),IF(NOT(ISBLANK(L8)), CONCATENATE(", ", L8), ""))</f>
        <v/>
      </c>
      <c r="Q8" s="37"/>
      <c r="R8" s="25"/>
      <c r="S8" s="25"/>
      <c r="T8" s="36"/>
      <c r="U8" s="43"/>
      <c r="V8" s="44"/>
      <c r="W8" s="3" t="b">
        <f t="shared" si="1"/>
        <v>0</v>
      </c>
      <c r="X8" s="3" t="b">
        <f t="shared" si="2"/>
        <v>0</v>
      </c>
      <c r="Y8" s="3" t="b">
        <f t="shared" si="0"/>
        <v>0</v>
      </c>
      <c r="Z8" s="29">
        <f>Z7</f>
        <v>1</v>
      </c>
      <c r="AA8" s="29">
        <f t="shared" si="3"/>
        <v>0</v>
      </c>
      <c r="AB8" s="29">
        <f t="shared" si="4"/>
        <v>0</v>
      </c>
      <c r="AC8" s="29">
        <f t="shared" si="5"/>
        <v>0</v>
      </c>
      <c r="AD8" s="29">
        <f t="shared" si="6"/>
        <v>0</v>
      </c>
      <c r="AE8" s="29" t="b">
        <f>AE7</f>
        <v>0</v>
      </c>
      <c r="AF8" s="29" t="b">
        <f t="shared" ref="AF8:AF39" si="10">AF7</f>
        <v>0</v>
      </c>
    </row>
    <row r="9" spans="1:32" ht="20.45" customHeight="1" x14ac:dyDescent="0.25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71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7"/>
      <c r="H9" s="25"/>
      <c r="I9" s="25"/>
      <c r="J9" s="36"/>
      <c r="K9" s="8" t="str">
        <f>IF(ISBLANK(G9), "", G9)</f>
        <v/>
      </c>
      <c r="L9" s="37"/>
      <c r="M9" s="25"/>
      <c r="N9" s="25"/>
      <c r="O9" s="36"/>
      <c r="P9" s="8" t="str">
        <f>CONCATENATE(IF(NOT(ISBLANK(G9)), G9, ""),IF(NOT(ISBLANK(L9)), CONCATENATE(", ", L9), ""))</f>
        <v/>
      </c>
      <c r="Q9" s="37"/>
      <c r="R9" s="25"/>
      <c r="S9" s="25"/>
      <c r="T9" s="36"/>
      <c r="U9" s="43"/>
      <c r="V9" s="44"/>
      <c r="W9" s="3" t="b">
        <f t="shared" si="1"/>
        <v>0</v>
      </c>
      <c r="X9" s="3" t="b">
        <f t="shared" si="2"/>
        <v>0</v>
      </c>
      <c r="Y9" s="3" t="b">
        <f t="shared" si="0"/>
        <v>0</v>
      </c>
      <c r="Z9" s="29">
        <f>SUMPRODUCT(1/COUNTIF(AA9:AD9, AA9:AD9))</f>
        <v>1</v>
      </c>
      <c r="AA9" s="29">
        <f t="shared" si="3"/>
        <v>0</v>
      </c>
      <c r="AB9" s="29">
        <f t="shared" si="4"/>
        <v>0</v>
      </c>
      <c r="AC9" s="29">
        <f t="shared" si="5"/>
        <v>0</v>
      </c>
      <c r="AD9" s="29">
        <f t="shared" si="6"/>
        <v>0</v>
      </c>
      <c r="AE9" s="29" t="b">
        <f>AND(NOT(ISBLANK(A9)), K9=K10)</f>
        <v>0</v>
      </c>
      <c r="AF9" s="29" t="b">
        <f t="shared" ref="AF9" si="11">AND(NOT(ISBLANK(A9)), OR(K9=K10, P9=P10))</f>
        <v>0</v>
      </c>
    </row>
    <row r="10" spans="1:32" ht="20.45" customHeight="1" x14ac:dyDescent="0.25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71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7"/>
      <c r="H10" s="25"/>
      <c r="I10" s="25"/>
      <c r="J10" s="36"/>
      <c r="K10" s="8" t="str">
        <f>IF(ISBLANK(G10), "", G10)</f>
        <v/>
      </c>
      <c r="L10" s="37"/>
      <c r="M10" s="25"/>
      <c r="N10" s="25"/>
      <c r="O10" s="36"/>
      <c r="P10" s="8" t="str">
        <f>CONCATENATE(IF(NOT(ISBLANK(G10)), G10, ""),IF(NOT(ISBLANK(L10)), CONCATENATE(", ", L10), ""))</f>
        <v/>
      </c>
      <c r="Q10" s="37"/>
      <c r="R10" s="25"/>
      <c r="S10" s="25"/>
      <c r="T10" s="36"/>
      <c r="U10" s="43"/>
      <c r="V10" s="44"/>
      <c r="W10" s="3" t="b">
        <f t="shared" si="1"/>
        <v>0</v>
      </c>
      <c r="X10" s="3" t="b">
        <f t="shared" si="2"/>
        <v>0</v>
      </c>
      <c r="Y10" s="3" t="b">
        <f t="shared" si="0"/>
        <v>0</v>
      </c>
      <c r="Z10" s="29">
        <f>Z9</f>
        <v>1</v>
      </c>
      <c r="AA10" s="29">
        <f t="shared" si="3"/>
        <v>0</v>
      </c>
      <c r="AB10" s="29">
        <f t="shared" si="4"/>
        <v>0</v>
      </c>
      <c r="AC10" s="29">
        <f t="shared" si="5"/>
        <v>0</v>
      </c>
      <c r="AD10" s="29">
        <f t="shared" si="6"/>
        <v>0</v>
      </c>
      <c r="AE10" s="29" t="b">
        <f>AE9</f>
        <v>0</v>
      </c>
      <c r="AF10" s="29" t="b">
        <f t="shared" ref="AF10:AF41" si="12">AF9</f>
        <v>0</v>
      </c>
    </row>
    <row r="11" spans="1:32" ht="20.45" customHeight="1" x14ac:dyDescent="0.25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71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5"/>
      <c r="H11" s="25"/>
      <c r="I11" s="25"/>
      <c r="J11" s="36"/>
      <c r="K11" s="8" t="str">
        <f>IF(ISBLANK(G11), "", G11)</f>
        <v/>
      </c>
      <c r="L11" s="37"/>
      <c r="M11" s="25"/>
      <c r="N11" s="25"/>
      <c r="O11" s="36"/>
      <c r="P11" s="8" t="str">
        <f>CONCATENATE(IF(NOT(ISBLANK(G11)), G11, ""),IF(NOT(ISBLANK(L11)), CONCATENATE(", ", L11), ""))</f>
        <v/>
      </c>
      <c r="Q11" s="37"/>
      <c r="R11" s="25"/>
      <c r="S11" s="25"/>
      <c r="T11" s="36"/>
      <c r="U11" s="43"/>
      <c r="V11" s="44"/>
      <c r="W11" s="3" t="b">
        <f t="shared" si="1"/>
        <v>0</v>
      </c>
      <c r="X11" s="3" t="b">
        <f t="shared" si="2"/>
        <v>0</v>
      </c>
      <c r="Y11" s="3" t="b">
        <f t="shared" si="0"/>
        <v>0</v>
      </c>
      <c r="Z11" s="29">
        <f>SUMPRODUCT(1/COUNTIF(AA11:AD11, AA11:AD11))</f>
        <v>1</v>
      </c>
      <c r="AA11" s="29">
        <f t="shared" si="3"/>
        <v>0</v>
      </c>
      <c r="AB11" s="29">
        <f t="shared" si="4"/>
        <v>0</v>
      </c>
      <c r="AC11" s="29">
        <f t="shared" si="5"/>
        <v>0</v>
      </c>
      <c r="AD11" s="29">
        <f t="shared" si="6"/>
        <v>0</v>
      </c>
      <c r="AE11" s="29" t="b">
        <f>AND(NOT(ISBLANK(A11)), K11=K12)</f>
        <v>0</v>
      </c>
      <c r="AF11" s="29" t="b">
        <f t="shared" ref="AF11" si="13">AND(NOT(ISBLANK(A11)), OR(K11=K12, P11=P12))</f>
        <v>0</v>
      </c>
    </row>
    <row r="12" spans="1:32" ht="20.45" customHeight="1" x14ac:dyDescent="0.25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71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5"/>
      <c r="H12" s="25"/>
      <c r="I12" s="25"/>
      <c r="J12" s="36"/>
      <c r="K12" s="8" t="str">
        <f>IF(ISBLANK(G12), "", G12)</f>
        <v/>
      </c>
      <c r="L12" s="37"/>
      <c r="M12" s="25"/>
      <c r="N12" s="25"/>
      <c r="O12" s="36"/>
      <c r="P12" s="8" t="str">
        <f>CONCATENATE(IF(NOT(ISBLANK(G12)), G12, ""),IF(NOT(ISBLANK(L12)), CONCATENATE(", ", L12), ""))</f>
        <v/>
      </c>
      <c r="Q12" s="37"/>
      <c r="R12" s="25"/>
      <c r="S12" s="25"/>
      <c r="T12" s="36"/>
      <c r="U12" s="43"/>
      <c r="V12" s="44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0"/>
        <v>0</v>
      </c>
      <c r="Z12" s="29">
        <f>Z11</f>
        <v>1</v>
      </c>
      <c r="AA12" s="29">
        <f t="shared" si="3"/>
        <v>0</v>
      </c>
      <c r="AB12" s="29">
        <f t="shared" si="4"/>
        <v>0</v>
      </c>
      <c r="AC12" s="29">
        <f t="shared" si="5"/>
        <v>0</v>
      </c>
      <c r="AD12" s="29">
        <f t="shared" si="6"/>
        <v>0</v>
      </c>
      <c r="AE12" s="29" t="b">
        <f>AE11</f>
        <v>0</v>
      </c>
      <c r="AF12" s="29" t="b">
        <f t="shared" ref="AF12:AF43" si="14">AF11</f>
        <v>0</v>
      </c>
    </row>
    <row r="13" spans="1:32" ht="20.45" customHeight="1" x14ac:dyDescent="0.25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71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7"/>
      <c r="H13" s="25"/>
      <c r="I13" s="25"/>
      <c r="J13" s="36"/>
      <c r="K13" s="8" t="str">
        <f>IF(ISBLANK(G13), "", G13)</f>
        <v/>
      </c>
      <c r="L13" s="37"/>
      <c r="M13" s="25"/>
      <c r="N13" s="25"/>
      <c r="O13" s="36"/>
      <c r="P13" s="8" t="str">
        <f>CONCATENATE(IF(NOT(ISBLANK(G13)), G13, ""),IF(NOT(ISBLANK(L13)), CONCATENATE(", ", L13), ""))</f>
        <v/>
      </c>
      <c r="Q13" s="37"/>
      <c r="R13" s="25"/>
      <c r="S13" s="25"/>
      <c r="T13" s="36"/>
      <c r="U13" s="43"/>
      <c r="V13" s="44"/>
      <c r="W13" s="3" t="b">
        <f t="shared" si="1"/>
        <v>0</v>
      </c>
      <c r="X13" s="3" t="b">
        <f t="shared" si="2"/>
        <v>0</v>
      </c>
      <c r="Y13" s="3" t="b">
        <f t="shared" si="0"/>
        <v>0</v>
      </c>
      <c r="Z13" s="29">
        <f>SUMPRODUCT(1/COUNTIF(AA13:AD13, AA13:AD13))</f>
        <v>1</v>
      </c>
      <c r="AA13" s="29">
        <f t="shared" si="3"/>
        <v>0</v>
      </c>
      <c r="AB13" s="29">
        <f t="shared" si="4"/>
        <v>0</v>
      </c>
      <c r="AC13" s="29">
        <f t="shared" si="5"/>
        <v>0</v>
      </c>
      <c r="AD13" s="29">
        <f t="shared" si="6"/>
        <v>0</v>
      </c>
      <c r="AE13" s="29" t="b">
        <f>AND(NOT(ISBLANK(A13)), K13=K14)</f>
        <v>0</v>
      </c>
      <c r="AF13" s="29" t="b">
        <f t="shared" ref="AF13" si="15">AND(NOT(ISBLANK(A13)), OR(K13=K14, P13=P14))</f>
        <v>0</v>
      </c>
    </row>
    <row r="14" spans="1:32" ht="20.45" customHeight="1" x14ac:dyDescent="0.25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71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7"/>
      <c r="H14" s="25"/>
      <c r="I14" s="25"/>
      <c r="J14" s="36"/>
      <c r="K14" s="8" t="str">
        <f>IF(ISBLANK(G14), "", G14)</f>
        <v/>
      </c>
      <c r="L14" s="37"/>
      <c r="M14" s="25"/>
      <c r="N14" s="25"/>
      <c r="O14" s="36"/>
      <c r="P14" s="8" t="str">
        <f>CONCATENATE(IF(NOT(ISBLANK(G14)), G14, ""),IF(NOT(ISBLANK(L14)), CONCATENATE(", ", L14), ""))</f>
        <v/>
      </c>
      <c r="Q14" s="37"/>
      <c r="R14" s="25"/>
      <c r="S14" s="25"/>
      <c r="T14" s="36"/>
      <c r="U14" s="43"/>
      <c r="V14" s="44"/>
      <c r="W14" s="3" t="b">
        <f t="shared" si="1"/>
        <v>0</v>
      </c>
      <c r="X14" s="3" t="b">
        <f t="shared" si="2"/>
        <v>0</v>
      </c>
      <c r="Y14" s="3" t="b">
        <f t="shared" si="0"/>
        <v>0</v>
      </c>
      <c r="Z14" s="29">
        <f>Z13</f>
        <v>1</v>
      </c>
      <c r="AA14" s="29">
        <f t="shared" si="3"/>
        <v>0</v>
      </c>
      <c r="AB14" s="29">
        <f t="shared" si="4"/>
        <v>0</v>
      </c>
      <c r="AC14" s="29">
        <f t="shared" si="5"/>
        <v>0</v>
      </c>
      <c r="AD14" s="29">
        <f t="shared" si="6"/>
        <v>0</v>
      </c>
      <c r="AE14" s="29" t="b">
        <f>AE13</f>
        <v>0</v>
      </c>
      <c r="AF14" s="29" t="b">
        <f t="shared" ref="AF14:AF45" si="16">AF13</f>
        <v>0</v>
      </c>
    </row>
    <row r="15" spans="1:32" ht="20.45" customHeight="1" x14ac:dyDescent="0.25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71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5"/>
      <c r="H15" s="25"/>
      <c r="I15" s="25"/>
      <c r="J15" s="36"/>
      <c r="K15" s="8" t="str">
        <f>IF(ISBLANK(G15), "", G15)</f>
        <v/>
      </c>
      <c r="L15" s="37"/>
      <c r="M15" s="25"/>
      <c r="N15" s="25"/>
      <c r="O15" s="36"/>
      <c r="P15" s="8" t="str">
        <f>CONCATENATE(IF(NOT(ISBLANK(G15)), G15, ""),IF(NOT(ISBLANK(L15)), CONCATENATE(", ", L15), ""))</f>
        <v/>
      </c>
      <c r="Q15" s="37"/>
      <c r="R15" s="25"/>
      <c r="S15" s="25"/>
      <c r="T15" s="36"/>
      <c r="U15" s="43"/>
      <c r="V15" s="44"/>
      <c r="W15" s="3" t="b">
        <f t="shared" si="1"/>
        <v>0</v>
      </c>
      <c r="X15" s="3" t="b">
        <f t="shared" si="2"/>
        <v>0</v>
      </c>
      <c r="Y15" s="3" t="b">
        <f t="shared" si="0"/>
        <v>0</v>
      </c>
      <c r="Z15" s="29">
        <f>SUMPRODUCT(1/COUNTIF(AA15:AD15, AA15:AD15))</f>
        <v>1</v>
      </c>
      <c r="AA15" s="29">
        <f t="shared" si="3"/>
        <v>0</v>
      </c>
      <c r="AB15" s="29">
        <f t="shared" si="4"/>
        <v>0</v>
      </c>
      <c r="AC15" s="29">
        <f t="shared" si="5"/>
        <v>0</v>
      </c>
      <c r="AD15" s="29">
        <f t="shared" si="6"/>
        <v>0</v>
      </c>
      <c r="AE15" s="29" t="b">
        <f>AND(NOT(ISBLANK(A15)), K15=K16)</f>
        <v>0</v>
      </c>
      <c r="AF15" s="29" t="b">
        <f t="shared" ref="AF15" si="17">AND(NOT(ISBLANK(A15)), OR(K15=K16, P15=P16))</f>
        <v>0</v>
      </c>
    </row>
    <row r="16" spans="1:32" ht="20.45" customHeight="1" x14ac:dyDescent="0.25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71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5"/>
      <c r="H16" s="25"/>
      <c r="I16" s="25"/>
      <c r="J16" s="36"/>
      <c r="K16" s="8" t="str">
        <f>IF(ISBLANK(G16), "", G16)</f>
        <v/>
      </c>
      <c r="L16" s="37"/>
      <c r="M16" s="25"/>
      <c r="N16" s="25"/>
      <c r="O16" s="36"/>
      <c r="P16" s="8" t="str">
        <f>CONCATENATE(IF(NOT(ISBLANK(G16)), G16, ""),IF(NOT(ISBLANK(L16)), CONCATENATE(", ", L16), ""))</f>
        <v/>
      </c>
      <c r="Q16" s="37"/>
      <c r="R16" s="25"/>
      <c r="S16" s="25"/>
      <c r="T16" s="36"/>
      <c r="U16" s="43"/>
      <c r="V16" s="44"/>
      <c r="W16" s="3" t="b">
        <f t="shared" si="1"/>
        <v>0</v>
      </c>
      <c r="X16" s="3" t="b">
        <f t="shared" si="2"/>
        <v>0</v>
      </c>
      <c r="Y16" s="3" t="b">
        <f t="shared" si="0"/>
        <v>0</v>
      </c>
      <c r="Z16" s="29">
        <f>Z15</f>
        <v>1</v>
      </c>
      <c r="AA16" s="29">
        <f t="shared" si="3"/>
        <v>0</v>
      </c>
      <c r="AB16" s="29">
        <f t="shared" si="4"/>
        <v>0</v>
      </c>
      <c r="AC16" s="29">
        <f t="shared" si="5"/>
        <v>0</v>
      </c>
      <c r="AD16" s="29">
        <f t="shared" si="6"/>
        <v>0</v>
      </c>
      <c r="AE16" s="29" t="b">
        <f>AE15</f>
        <v>0</v>
      </c>
      <c r="AF16" s="29" t="b">
        <f t="shared" ref="AF16:AF47" si="18">AF15</f>
        <v>0</v>
      </c>
    </row>
    <row r="17" spans="1:32" ht="20.45" customHeight="1" x14ac:dyDescent="0.25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71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7"/>
      <c r="H17" s="25"/>
      <c r="I17" s="25"/>
      <c r="J17" s="36"/>
      <c r="K17" s="8" t="str">
        <f>IF(ISBLANK(G17), "", G17)</f>
        <v/>
      </c>
      <c r="L17" s="37"/>
      <c r="M17" s="25"/>
      <c r="N17" s="25"/>
      <c r="O17" s="36"/>
      <c r="P17" s="8" t="str">
        <f>CONCATENATE(IF(NOT(ISBLANK(G17)), G17, ""),IF(NOT(ISBLANK(L17)), CONCATENATE(", ", L17), ""))</f>
        <v/>
      </c>
      <c r="Q17" s="37"/>
      <c r="R17" s="25"/>
      <c r="S17" s="25"/>
      <c r="T17" s="36"/>
      <c r="U17" s="43"/>
      <c r="V17" s="44"/>
      <c r="W17" s="3" t="b">
        <f t="shared" si="1"/>
        <v>0</v>
      </c>
      <c r="X17" s="3" t="b">
        <f t="shared" si="2"/>
        <v>0</v>
      </c>
      <c r="Y17" s="3" t="b">
        <f t="shared" si="0"/>
        <v>0</v>
      </c>
      <c r="Z17" s="29">
        <f>SUMPRODUCT(1/COUNTIF(AA17:AD17, AA17:AD17))</f>
        <v>1</v>
      </c>
      <c r="AA17" s="29">
        <f t="shared" si="3"/>
        <v>0</v>
      </c>
      <c r="AB17" s="29">
        <f t="shared" si="4"/>
        <v>0</v>
      </c>
      <c r="AC17" s="29">
        <f t="shared" si="5"/>
        <v>0</v>
      </c>
      <c r="AD17" s="29">
        <f t="shared" si="6"/>
        <v>0</v>
      </c>
      <c r="AE17" s="29" t="b">
        <f>AND(NOT(ISBLANK(A17)), K17=K18)</f>
        <v>0</v>
      </c>
      <c r="AF17" s="29" t="b">
        <f t="shared" ref="AF17" si="19">AND(NOT(ISBLANK(A17)), OR(K17=K18, P17=P18))</f>
        <v>0</v>
      </c>
    </row>
    <row r="18" spans="1:32" ht="20.45" customHeight="1" x14ac:dyDescent="0.25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71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7"/>
      <c r="H18" s="25"/>
      <c r="I18" s="25"/>
      <c r="J18" s="36"/>
      <c r="K18" s="8" t="str">
        <f>IF(ISBLANK(G18), "", G18)</f>
        <v/>
      </c>
      <c r="L18" s="37"/>
      <c r="M18" s="25"/>
      <c r="N18" s="25"/>
      <c r="O18" s="36"/>
      <c r="P18" s="8" t="str">
        <f>CONCATENATE(IF(NOT(ISBLANK(G18)), G18, ""),IF(NOT(ISBLANK(L18)), CONCATENATE(", ", L18), ""))</f>
        <v/>
      </c>
      <c r="Q18" s="37"/>
      <c r="R18" s="25"/>
      <c r="S18" s="25"/>
      <c r="T18" s="36"/>
      <c r="U18" s="43"/>
      <c r="V18" s="44"/>
      <c r="W18" s="3" t="b">
        <f t="shared" si="1"/>
        <v>0</v>
      </c>
      <c r="X18" s="3" t="b">
        <f t="shared" si="2"/>
        <v>0</v>
      </c>
      <c r="Y18" s="3" t="b">
        <f t="shared" si="0"/>
        <v>0</v>
      </c>
      <c r="Z18" s="29">
        <f>Z17</f>
        <v>1</v>
      </c>
      <c r="AA18" s="29">
        <f t="shared" si="3"/>
        <v>0</v>
      </c>
      <c r="AB18" s="29">
        <f t="shared" si="4"/>
        <v>0</v>
      </c>
      <c r="AC18" s="29">
        <f t="shared" si="5"/>
        <v>0</v>
      </c>
      <c r="AD18" s="29">
        <f t="shared" si="6"/>
        <v>0</v>
      </c>
      <c r="AE18" s="29" t="b">
        <f>AE17</f>
        <v>0</v>
      </c>
      <c r="AF18" s="29" t="b">
        <f t="shared" ref="AF18:AF49" si="20">AF17</f>
        <v>0</v>
      </c>
    </row>
    <row r="19" spans="1:32" ht="20.45" customHeight="1" x14ac:dyDescent="0.25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71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5"/>
      <c r="H19" s="25"/>
      <c r="I19" s="25"/>
      <c r="J19" s="36"/>
      <c r="K19" s="8" t="str">
        <f>IF(ISBLANK(G19), "", G19)</f>
        <v/>
      </c>
      <c r="L19" s="37"/>
      <c r="M19" s="25"/>
      <c r="N19" s="25"/>
      <c r="O19" s="36"/>
      <c r="P19" s="8" t="str">
        <f>CONCATENATE(IF(NOT(ISBLANK(G19)), G19, ""),IF(NOT(ISBLANK(L19)), CONCATENATE(", ", L19), ""))</f>
        <v/>
      </c>
      <c r="Q19" s="37"/>
      <c r="R19" s="25"/>
      <c r="S19" s="25"/>
      <c r="T19" s="36"/>
      <c r="U19" s="43"/>
      <c r="V19" s="44"/>
      <c r="W19" s="3" t="b">
        <f t="shared" si="1"/>
        <v>0</v>
      </c>
      <c r="X19" s="3" t="b">
        <f t="shared" si="2"/>
        <v>0</v>
      </c>
      <c r="Y19" s="3" t="b">
        <f t="shared" si="0"/>
        <v>0</v>
      </c>
      <c r="Z19" s="29">
        <f>SUMPRODUCT(1/COUNTIF(AA19:AD19, AA19:AD19))</f>
        <v>1</v>
      </c>
      <c r="AA19" s="29">
        <f t="shared" si="3"/>
        <v>0</v>
      </c>
      <c r="AB19" s="29">
        <f t="shared" si="4"/>
        <v>0</v>
      </c>
      <c r="AC19" s="29">
        <f t="shared" si="5"/>
        <v>0</v>
      </c>
      <c r="AD19" s="29">
        <f t="shared" si="6"/>
        <v>0</v>
      </c>
      <c r="AE19" s="29" t="b">
        <f t="shared" ref="AE19" si="21">AND(NOT(ISBLANK(A19)), K19=K20)</f>
        <v>0</v>
      </c>
      <c r="AF19" s="29" t="b">
        <f t="shared" ref="AF19" si="22">AND(NOT(ISBLANK(A19)), OR(K19=K20, P19=P20))</f>
        <v>0</v>
      </c>
    </row>
    <row r="20" spans="1:32" ht="20.45" customHeight="1" x14ac:dyDescent="0.25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71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5"/>
      <c r="H20" s="25"/>
      <c r="I20" s="25"/>
      <c r="J20" s="36"/>
      <c r="K20" s="8" t="str">
        <f>IF(ISBLANK(G20), "", G20)</f>
        <v/>
      </c>
      <c r="L20" s="37"/>
      <c r="M20" s="25"/>
      <c r="N20" s="25"/>
      <c r="O20" s="36"/>
      <c r="P20" s="8" t="str">
        <f>CONCATENATE(IF(NOT(ISBLANK(G20)), G20, ""),IF(NOT(ISBLANK(L20)), CONCATENATE(", ", L20), ""))</f>
        <v/>
      </c>
      <c r="Q20" s="37"/>
      <c r="R20" s="25"/>
      <c r="S20" s="25"/>
      <c r="T20" s="36"/>
      <c r="U20" s="43"/>
      <c r="V20" s="44"/>
      <c r="W20" s="3" t="b">
        <f t="shared" si="1"/>
        <v>0</v>
      </c>
      <c r="X20" s="3" t="b">
        <f t="shared" si="2"/>
        <v>0</v>
      </c>
      <c r="Y20" s="3" t="b">
        <f t="shared" si="0"/>
        <v>0</v>
      </c>
      <c r="Z20" s="29">
        <f>Z19</f>
        <v>1</v>
      </c>
      <c r="AA20" s="29">
        <f t="shared" si="3"/>
        <v>0</v>
      </c>
      <c r="AB20" s="29">
        <f t="shared" si="4"/>
        <v>0</v>
      </c>
      <c r="AC20" s="29">
        <f t="shared" si="5"/>
        <v>0</v>
      </c>
      <c r="AD20" s="29">
        <f t="shared" si="6"/>
        <v>0</v>
      </c>
      <c r="AE20" s="29" t="b">
        <f t="shared" ref="AE20:AE34" si="23">AE19</f>
        <v>0</v>
      </c>
      <c r="AF20" s="29" t="b">
        <f t="shared" ref="AF20:AF67" si="24">AF19</f>
        <v>0</v>
      </c>
    </row>
    <row r="21" spans="1:32" ht="20.45" customHeight="1" x14ac:dyDescent="0.25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71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7"/>
      <c r="H21" s="25"/>
      <c r="I21" s="25"/>
      <c r="J21" s="36"/>
      <c r="K21" s="8" t="str">
        <f>IF(ISBLANK(G21), "", G21)</f>
        <v/>
      </c>
      <c r="L21" s="37"/>
      <c r="M21" s="25"/>
      <c r="N21" s="25"/>
      <c r="O21" s="36"/>
      <c r="P21" s="8" t="str">
        <f>CONCATENATE(IF(NOT(ISBLANK(G21)), G21, ""),IF(NOT(ISBLANK(L21)), CONCATENATE(", ", L21), ""))</f>
        <v/>
      </c>
      <c r="Q21" s="37"/>
      <c r="R21" s="25"/>
      <c r="S21" s="25"/>
      <c r="T21" s="36"/>
      <c r="U21" s="43"/>
      <c r="V21" s="44"/>
      <c r="W21" s="3" t="b">
        <f t="shared" si="1"/>
        <v>0</v>
      </c>
      <c r="X21" s="3" t="b">
        <f t="shared" si="2"/>
        <v>0</v>
      </c>
      <c r="Y21" s="3" t="b">
        <f t="shared" si="0"/>
        <v>0</v>
      </c>
      <c r="Z21" s="29">
        <f>SUMPRODUCT(1/COUNTIF(AA21:AD21, AA21:AD21))</f>
        <v>1</v>
      </c>
      <c r="AA21" s="29">
        <f t="shared" si="3"/>
        <v>0</v>
      </c>
      <c r="AB21" s="29">
        <f t="shared" si="4"/>
        <v>0</v>
      </c>
      <c r="AC21" s="29">
        <f t="shared" si="5"/>
        <v>0</v>
      </c>
      <c r="AD21" s="29">
        <f t="shared" si="6"/>
        <v>0</v>
      </c>
      <c r="AE21" s="29" t="b">
        <f t="shared" ref="AE21" si="25">AND(NOT(ISBLANK(A21)), K21=K22)</f>
        <v>0</v>
      </c>
      <c r="AF21" s="29" t="b">
        <f t="shared" ref="AF21" si="26">AND(NOT(ISBLANK(A21)), OR(K21=K22, P21=P22))</f>
        <v>0</v>
      </c>
    </row>
    <row r="22" spans="1:32" ht="20.45" customHeight="1" x14ac:dyDescent="0.25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71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7"/>
      <c r="H22" s="25"/>
      <c r="I22" s="25"/>
      <c r="J22" s="36"/>
      <c r="K22" s="8" t="str">
        <f>IF(ISBLANK(G22), "", G22)</f>
        <v/>
      </c>
      <c r="L22" s="37"/>
      <c r="M22" s="25"/>
      <c r="N22" s="25"/>
      <c r="O22" s="36"/>
      <c r="P22" s="8" t="str">
        <f>CONCATENATE(IF(NOT(ISBLANK(G22)), G22, ""),IF(NOT(ISBLANK(L22)), CONCATENATE(", ", L22), ""))</f>
        <v/>
      </c>
      <c r="Q22" s="37"/>
      <c r="R22" s="25"/>
      <c r="S22" s="25"/>
      <c r="T22" s="36"/>
      <c r="U22" s="43"/>
      <c r="V22" s="44"/>
      <c r="W22" s="3" t="b">
        <f t="shared" si="1"/>
        <v>0</v>
      </c>
      <c r="X22" s="3" t="b">
        <f t="shared" si="2"/>
        <v>0</v>
      </c>
      <c r="Y22" s="3" t="b">
        <f t="shared" si="0"/>
        <v>0</v>
      </c>
      <c r="Z22" s="29">
        <f>Z21</f>
        <v>1</v>
      </c>
      <c r="AA22" s="29">
        <f t="shared" si="3"/>
        <v>0</v>
      </c>
      <c r="AB22" s="29">
        <f t="shared" si="4"/>
        <v>0</v>
      </c>
      <c r="AC22" s="29">
        <f t="shared" si="5"/>
        <v>0</v>
      </c>
      <c r="AD22" s="29">
        <f t="shared" si="6"/>
        <v>0</v>
      </c>
      <c r="AE22" s="29" t="b">
        <f t="shared" ref="AE22:AE34" si="27">AE21</f>
        <v>0</v>
      </c>
      <c r="AF22" s="29" t="b">
        <f t="shared" ref="AF22:AF67" si="28">AF21</f>
        <v>0</v>
      </c>
    </row>
    <row r="23" spans="1:32" ht="20.45" customHeight="1" x14ac:dyDescent="0.25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71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5"/>
      <c r="H23" s="25"/>
      <c r="I23" s="25"/>
      <c r="J23" s="36"/>
      <c r="K23" s="8" t="str">
        <f>IF(ISBLANK(G23), "", G23)</f>
        <v/>
      </c>
      <c r="L23" s="37"/>
      <c r="M23" s="25"/>
      <c r="N23" s="25"/>
      <c r="O23" s="36"/>
      <c r="P23" s="8" t="str">
        <f>CONCATENATE(IF(NOT(ISBLANK(G23)), G23, ""),IF(NOT(ISBLANK(L23)), CONCATENATE(", ", L23), ""))</f>
        <v/>
      </c>
      <c r="Q23" s="37"/>
      <c r="R23" s="25"/>
      <c r="S23" s="25"/>
      <c r="T23" s="36"/>
      <c r="U23" s="43"/>
      <c r="V23" s="44"/>
      <c r="W23" s="3" t="b">
        <f t="shared" si="1"/>
        <v>0</v>
      </c>
      <c r="X23" s="3" t="b">
        <f t="shared" si="2"/>
        <v>0</v>
      </c>
      <c r="Y23" s="3" t="b">
        <f t="shared" si="0"/>
        <v>0</v>
      </c>
      <c r="Z23" s="29">
        <f>SUMPRODUCT(1/COUNTIF(AA23:AD23, AA23:AD23))</f>
        <v>1</v>
      </c>
      <c r="AA23" s="29">
        <f t="shared" si="3"/>
        <v>0</v>
      </c>
      <c r="AB23" s="29">
        <f t="shared" si="4"/>
        <v>0</v>
      </c>
      <c r="AC23" s="29">
        <f t="shared" si="5"/>
        <v>0</v>
      </c>
      <c r="AD23" s="29">
        <f t="shared" si="6"/>
        <v>0</v>
      </c>
      <c r="AE23" s="29" t="b">
        <f t="shared" ref="AE23" si="29">AND(NOT(ISBLANK(A23)), K23=K24)</f>
        <v>0</v>
      </c>
      <c r="AF23" s="29" t="b">
        <f t="shared" ref="AF23" si="30">AND(NOT(ISBLANK(A23)), OR(K23=K24, P23=P24))</f>
        <v>0</v>
      </c>
    </row>
    <row r="24" spans="1:32" ht="20.45" customHeight="1" x14ac:dyDescent="0.25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71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5"/>
      <c r="H24" s="25"/>
      <c r="I24" s="25"/>
      <c r="J24" s="36"/>
      <c r="K24" s="8" t="str">
        <f>IF(ISBLANK(G24), "", G24)</f>
        <v/>
      </c>
      <c r="L24" s="37"/>
      <c r="M24" s="25"/>
      <c r="N24" s="25"/>
      <c r="O24" s="36"/>
      <c r="P24" s="8" t="str">
        <f>CONCATENATE(IF(NOT(ISBLANK(G24)), G24, ""),IF(NOT(ISBLANK(L24)), CONCATENATE(", ", L24), ""))</f>
        <v/>
      </c>
      <c r="Q24" s="37"/>
      <c r="R24" s="25"/>
      <c r="S24" s="25"/>
      <c r="T24" s="36"/>
      <c r="U24" s="43"/>
      <c r="V24" s="44"/>
      <c r="W24" s="3" t="b">
        <f t="shared" si="1"/>
        <v>0</v>
      </c>
      <c r="X24" s="3" t="b">
        <f t="shared" si="2"/>
        <v>0</v>
      </c>
      <c r="Y24" s="3" t="b">
        <f t="shared" si="0"/>
        <v>0</v>
      </c>
      <c r="Z24" s="29">
        <f>Z23</f>
        <v>1</v>
      </c>
      <c r="AA24" s="29">
        <f t="shared" si="3"/>
        <v>0</v>
      </c>
      <c r="AB24" s="29">
        <f t="shared" si="4"/>
        <v>0</v>
      </c>
      <c r="AC24" s="29">
        <f t="shared" si="5"/>
        <v>0</v>
      </c>
      <c r="AD24" s="29">
        <f t="shared" si="6"/>
        <v>0</v>
      </c>
      <c r="AE24" s="29" t="b">
        <f t="shared" ref="AE24:AE34" si="31">AE23</f>
        <v>0</v>
      </c>
      <c r="AF24" s="29" t="b">
        <f t="shared" ref="AF24:AF67" si="32">AF23</f>
        <v>0</v>
      </c>
    </row>
    <row r="25" spans="1:32" ht="20.45" customHeight="1" x14ac:dyDescent="0.25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71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7"/>
      <c r="H25" s="25"/>
      <c r="I25" s="25"/>
      <c r="J25" s="36"/>
      <c r="K25" s="8" t="str">
        <f>IF(ISBLANK(G25), "", G25)</f>
        <v/>
      </c>
      <c r="L25" s="37"/>
      <c r="M25" s="25"/>
      <c r="N25" s="25"/>
      <c r="O25" s="36"/>
      <c r="P25" s="8" t="str">
        <f>CONCATENATE(IF(NOT(ISBLANK(G25)), G25, ""),IF(NOT(ISBLANK(L25)), CONCATENATE(", ", L25), ""))</f>
        <v/>
      </c>
      <c r="Q25" s="37"/>
      <c r="R25" s="25"/>
      <c r="S25" s="25"/>
      <c r="T25" s="36"/>
      <c r="U25" s="43"/>
      <c r="V25" s="44"/>
      <c r="W25" s="3" t="b">
        <f t="shared" si="1"/>
        <v>0</v>
      </c>
      <c r="X25" s="3" t="b">
        <f t="shared" si="2"/>
        <v>0</v>
      </c>
      <c r="Y25" s="3" t="b">
        <f t="shared" si="0"/>
        <v>0</v>
      </c>
      <c r="Z25" s="29">
        <f>SUMPRODUCT(1/COUNTIF(AA25:AD25, AA25:AD25))</f>
        <v>1</v>
      </c>
      <c r="AA25" s="29">
        <f t="shared" si="3"/>
        <v>0</v>
      </c>
      <c r="AB25" s="29">
        <f t="shared" si="4"/>
        <v>0</v>
      </c>
      <c r="AC25" s="29">
        <f t="shared" si="5"/>
        <v>0</v>
      </c>
      <c r="AD25" s="29">
        <f t="shared" si="6"/>
        <v>0</v>
      </c>
      <c r="AE25" s="29" t="b">
        <f t="shared" ref="AE25:AE34" si="33">AND(NOT(ISBLANK(A25)), K25=K26)</f>
        <v>0</v>
      </c>
      <c r="AF25" s="29" t="b">
        <f t="shared" ref="AF25:AF67" si="34">AND(NOT(ISBLANK(A25)), OR(K25=K26, P25=P26))</f>
        <v>0</v>
      </c>
    </row>
    <row r="26" spans="1:32" ht="20.45" customHeight="1" x14ac:dyDescent="0.25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71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7"/>
      <c r="H26" s="25"/>
      <c r="I26" s="25"/>
      <c r="J26" s="36"/>
      <c r="K26" s="8" t="str">
        <f>IF(ISBLANK(G26), "", G26)</f>
        <v/>
      </c>
      <c r="L26" s="37"/>
      <c r="M26" s="25"/>
      <c r="N26" s="25"/>
      <c r="O26" s="36"/>
      <c r="P26" s="8" t="str">
        <f>CONCATENATE(IF(NOT(ISBLANK(G26)), G26, ""),IF(NOT(ISBLANK(L26)), CONCATENATE(", ", L26), ""))</f>
        <v/>
      </c>
      <c r="Q26" s="37"/>
      <c r="R26" s="25"/>
      <c r="S26" s="25"/>
      <c r="T26" s="36"/>
      <c r="U26" s="43"/>
      <c r="V26" s="44"/>
      <c r="W26" s="3" t="b">
        <f t="shared" si="1"/>
        <v>0</v>
      </c>
      <c r="X26" s="3" t="b">
        <f t="shared" si="2"/>
        <v>0</v>
      </c>
      <c r="Y26" s="3" t="b">
        <f t="shared" si="0"/>
        <v>0</v>
      </c>
      <c r="Z26" s="29">
        <f>Z25</f>
        <v>1</v>
      </c>
      <c r="AA26" s="29">
        <f t="shared" si="3"/>
        <v>0</v>
      </c>
      <c r="AB26" s="29">
        <f t="shared" si="4"/>
        <v>0</v>
      </c>
      <c r="AC26" s="29">
        <f t="shared" si="5"/>
        <v>0</v>
      </c>
      <c r="AD26" s="29">
        <f t="shared" si="6"/>
        <v>0</v>
      </c>
      <c r="AE26" s="29" t="b">
        <f t="shared" ref="AE26:AE34" si="35">AE25</f>
        <v>0</v>
      </c>
      <c r="AF26" s="29" t="b">
        <f t="shared" ref="AF26:AF67" si="36">AF25</f>
        <v>0</v>
      </c>
    </row>
    <row r="27" spans="1:32" ht="20.45" customHeight="1" x14ac:dyDescent="0.25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71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5"/>
      <c r="H27" s="25"/>
      <c r="I27" s="25"/>
      <c r="J27" s="36"/>
      <c r="K27" s="8" t="str">
        <f>IF(ISBLANK(G27), "", G27)</f>
        <v/>
      </c>
      <c r="L27" s="37"/>
      <c r="M27" s="25"/>
      <c r="N27" s="25"/>
      <c r="O27" s="36"/>
      <c r="P27" s="8" t="str">
        <f>CONCATENATE(IF(NOT(ISBLANK(G27)), G27, ""),IF(NOT(ISBLANK(L27)), CONCATENATE(", ", L27), ""))</f>
        <v/>
      </c>
      <c r="Q27" s="37"/>
      <c r="R27" s="25"/>
      <c r="S27" s="25"/>
      <c r="T27" s="36"/>
      <c r="U27" s="43"/>
      <c r="V27" s="44"/>
      <c r="W27" s="3" t="b">
        <f t="shared" si="1"/>
        <v>0</v>
      </c>
      <c r="X27" s="3" t="b">
        <f t="shared" si="2"/>
        <v>0</v>
      </c>
      <c r="Y27" s="3" t="b">
        <f t="shared" si="0"/>
        <v>0</v>
      </c>
      <c r="Z27" s="29">
        <f>SUMPRODUCT(1/COUNTIF(AA27:AD27, AA27:AD27))</f>
        <v>1</v>
      </c>
      <c r="AA27" s="29">
        <f t="shared" si="3"/>
        <v>0</v>
      </c>
      <c r="AB27" s="29">
        <f t="shared" si="4"/>
        <v>0</v>
      </c>
      <c r="AC27" s="29">
        <f t="shared" si="5"/>
        <v>0</v>
      </c>
      <c r="AD27" s="29">
        <f t="shared" si="6"/>
        <v>0</v>
      </c>
      <c r="AE27" s="29" t="b">
        <f t="shared" ref="AE27:AE34" si="37">AND(NOT(ISBLANK(A27)), K27=K28)</f>
        <v>0</v>
      </c>
      <c r="AF27" s="29" t="b">
        <f t="shared" ref="AF27:AF67" si="38">AND(NOT(ISBLANK(A27)), OR(K27=K28, P27=P28))</f>
        <v>0</v>
      </c>
    </row>
    <row r="28" spans="1:32" ht="20.45" customHeight="1" x14ac:dyDescent="0.25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71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5"/>
      <c r="H28" s="25"/>
      <c r="I28" s="25"/>
      <c r="J28" s="36"/>
      <c r="K28" s="8" t="str">
        <f>IF(ISBLANK(G28), "", G28)</f>
        <v/>
      </c>
      <c r="L28" s="37"/>
      <c r="M28" s="25"/>
      <c r="N28" s="25"/>
      <c r="O28" s="36"/>
      <c r="P28" s="8" t="str">
        <f>CONCATENATE(IF(NOT(ISBLANK(G28)), G28, ""),IF(NOT(ISBLANK(L28)), CONCATENATE(", ", L28), ""))</f>
        <v/>
      </c>
      <c r="Q28" s="37"/>
      <c r="R28" s="25"/>
      <c r="S28" s="25"/>
      <c r="T28" s="36"/>
      <c r="U28" s="43"/>
      <c r="V28" s="44"/>
      <c r="W28" s="3" t="b">
        <f t="shared" si="1"/>
        <v>0</v>
      </c>
      <c r="X28" s="3" t="b">
        <f t="shared" si="2"/>
        <v>0</v>
      </c>
      <c r="Y28" s="3" t="b">
        <f t="shared" si="0"/>
        <v>0</v>
      </c>
      <c r="Z28" s="29">
        <f>Z27</f>
        <v>1</v>
      </c>
      <c r="AA28" s="29">
        <f t="shared" si="3"/>
        <v>0</v>
      </c>
      <c r="AB28" s="29">
        <f t="shared" si="4"/>
        <v>0</v>
      </c>
      <c r="AC28" s="29">
        <f t="shared" si="5"/>
        <v>0</v>
      </c>
      <c r="AD28" s="29">
        <f t="shared" si="6"/>
        <v>0</v>
      </c>
      <c r="AE28" s="29" t="b">
        <f t="shared" ref="AE28:AE34" si="39">AE27</f>
        <v>0</v>
      </c>
      <c r="AF28" s="29" t="b">
        <f t="shared" ref="AF28:AF67" si="40">AF27</f>
        <v>0</v>
      </c>
    </row>
    <row r="29" spans="1:32" ht="20.45" customHeight="1" x14ac:dyDescent="0.25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71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7"/>
      <c r="H29" s="25"/>
      <c r="I29" s="25"/>
      <c r="J29" s="36"/>
      <c r="K29" s="8" t="str">
        <f>IF(ISBLANK(G29), "", G29)</f>
        <v/>
      </c>
      <c r="L29" s="37"/>
      <c r="M29" s="25"/>
      <c r="N29" s="25"/>
      <c r="O29" s="36"/>
      <c r="P29" s="8" t="str">
        <f>CONCATENATE(IF(NOT(ISBLANK(G29)), G29, ""),IF(NOT(ISBLANK(L29)), CONCATENATE(", ", L29), ""))</f>
        <v/>
      </c>
      <c r="Q29" s="37"/>
      <c r="R29" s="25"/>
      <c r="S29" s="25"/>
      <c r="T29" s="36"/>
      <c r="U29" s="43"/>
      <c r="V29" s="44"/>
      <c r="W29" s="3" t="b">
        <f t="shared" si="1"/>
        <v>0</v>
      </c>
      <c r="X29" s="3" t="b">
        <f t="shared" si="2"/>
        <v>0</v>
      </c>
      <c r="Y29" s="3" t="b">
        <f t="shared" si="0"/>
        <v>0</v>
      </c>
      <c r="Z29" s="29">
        <f>SUMPRODUCT(1/COUNTIF(AA29:AD29, AA29:AD29))</f>
        <v>1</v>
      </c>
      <c r="AA29" s="29">
        <f t="shared" si="3"/>
        <v>0</v>
      </c>
      <c r="AB29" s="29">
        <f t="shared" si="4"/>
        <v>0</v>
      </c>
      <c r="AC29" s="29">
        <f t="shared" si="5"/>
        <v>0</v>
      </c>
      <c r="AD29" s="29">
        <f t="shared" si="6"/>
        <v>0</v>
      </c>
      <c r="AE29" s="29" t="b">
        <f t="shared" ref="AE29:AE34" si="41">AND(NOT(ISBLANK(A29)), K29=K30)</f>
        <v>0</v>
      </c>
      <c r="AF29" s="29" t="b">
        <f t="shared" ref="AF29:AF67" si="42">AND(NOT(ISBLANK(A29)), OR(K29=K30, P29=P30))</f>
        <v>0</v>
      </c>
    </row>
    <row r="30" spans="1:32" ht="20.45" customHeight="1" x14ac:dyDescent="0.25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71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7"/>
      <c r="H30" s="25"/>
      <c r="I30" s="25"/>
      <c r="J30" s="36"/>
      <c r="K30" s="8" t="str">
        <f>IF(ISBLANK(G30), "", G30)</f>
        <v/>
      </c>
      <c r="L30" s="37"/>
      <c r="M30" s="25"/>
      <c r="N30" s="25"/>
      <c r="O30" s="36"/>
      <c r="P30" s="8" t="str">
        <f>CONCATENATE(IF(NOT(ISBLANK(G30)), G30, ""),IF(NOT(ISBLANK(L30)), CONCATENATE(", ", L30), ""))</f>
        <v/>
      </c>
      <c r="Q30" s="37"/>
      <c r="R30" s="25"/>
      <c r="S30" s="25"/>
      <c r="T30" s="36"/>
      <c r="U30" s="43"/>
      <c r="V30" s="44"/>
      <c r="W30" s="3" t="b">
        <f t="shared" si="1"/>
        <v>0</v>
      </c>
      <c r="X30" s="3" t="b">
        <f t="shared" si="2"/>
        <v>0</v>
      </c>
      <c r="Y30" s="3" t="b">
        <f t="shared" si="0"/>
        <v>0</v>
      </c>
      <c r="Z30" s="29">
        <f>Z29</f>
        <v>1</v>
      </c>
      <c r="AA30" s="29">
        <f t="shared" si="3"/>
        <v>0</v>
      </c>
      <c r="AB30" s="29">
        <f t="shared" si="4"/>
        <v>0</v>
      </c>
      <c r="AC30" s="29">
        <f t="shared" si="5"/>
        <v>0</v>
      </c>
      <c r="AD30" s="29">
        <f t="shared" si="6"/>
        <v>0</v>
      </c>
      <c r="AE30" s="29" t="b">
        <f t="shared" ref="AE30:AE34" si="43">AE29</f>
        <v>0</v>
      </c>
      <c r="AF30" s="29" t="b">
        <f t="shared" ref="AF30:AF67" si="44">AF29</f>
        <v>0</v>
      </c>
    </row>
    <row r="31" spans="1:32" ht="20.45" customHeight="1" x14ac:dyDescent="0.25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71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5"/>
      <c r="H31" s="25"/>
      <c r="I31" s="25"/>
      <c r="J31" s="36"/>
      <c r="K31" s="8" t="str">
        <f>IF(ISBLANK(G31), "", G31)</f>
        <v/>
      </c>
      <c r="L31" s="37"/>
      <c r="M31" s="25"/>
      <c r="N31" s="25"/>
      <c r="O31" s="36"/>
      <c r="P31" s="8" t="str">
        <f>CONCATENATE(IF(NOT(ISBLANK(G31)), G31, ""),IF(NOT(ISBLANK(L31)), CONCATENATE(", ", L31), ""))</f>
        <v/>
      </c>
      <c r="Q31" s="37"/>
      <c r="R31" s="25"/>
      <c r="S31" s="25"/>
      <c r="T31" s="36"/>
      <c r="U31" s="43"/>
      <c r="V31" s="44"/>
      <c r="W31" s="3" t="b">
        <f t="shared" si="1"/>
        <v>0</v>
      </c>
      <c r="X31" s="3" t="b">
        <f t="shared" si="2"/>
        <v>0</v>
      </c>
      <c r="Y31" s="3" t="b">
        <f t="shared" si="0"/>
        <v>0</v>
      </c>
      <c r="Z31" s="29">
        <f>SUMPRODUCT(1/COUNTIF(AA31:AD31, AA31:AD31))</f>
        <v>1</v>
      </c>
      <c r="AA31" s="29">
        <f t="shared" si="3"/>
        <v>0</v>
      </c>
      <c r="AB31" s="29">
        <f t="shared" si="4"/>
        <v>0</v>
      </c>
      <c r="AC31" s="29">
        <f t="shared" si="5"/>
        <v>0</v>
      </c>
      <c r="AD31" s="29">
        <f t="shared" si="6"/>
        <v>0</v>
      </c>
      <c r="AE31" s="29" t="b">
        <f t="shared" ref="AE31:AE34" si="45">AND(NOT(ISBLANK(A31)), K31=K32)</f>
        <v>0</v>
      </c>
      <c r="AF31" s="29" t="b">
        <f t="shared" ref="AF31:AF67" si="46">AND(NOT(ISBLANK(A31)), OR(K31=K32, P31=P32))</f>
        <v>0</v>
      </c>
    </row>
    <row r="32" spans="1:32" ht="20.45" customHeight="1" x14ac:dyDescent="0.25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71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5"/>
      <c r="H32" s="25"/>
      <c r="I32" s="25"/>
      <c r="J32" s="36"/>
      <c r="K32" s="8" t="str">
        <f>IF(ISBLANK(G32), "", G32)</f>
        <v/>
      </c>
      <c r="L32" s="37"/>
      <c r="M32" s="25"/>
      <c r="N32" s="25"/>
      <c r="O32" s="36"/>
      <c r="P32" s="8" t="str">
        <f>CONCATENATE(IF(NOT(ISBLANK(G32)), G32, ""),IF(NOT(ISBLANK(L32)), CONCATENATE(", ", L32), ""))</f>
        <v/>
      </c>
      <c r="Q32" s="37"/>
      <c r="R32" s="25"/>
      <c r="S32" s="25"/>
      <c r="T32" s="36"/>
      <c r="U32" s="43"/>
      <c r="V32" s="44"/>
      <c r="W32" s="3" t="b">
        <f t="shared" si="1"/>
        <v>0</v>
      </c>
      <c r="X32" s="3" t="b">
        <f t="shared" si="2"/>
        <v>0</v>
      </c>
      <c r="Y32" s="3" t="b">
        <f t="shared" si="0"/>
        <v>0</v>
      </c>
      <c r="Z32" s="29">
        <f>Z31</f>
        <v>1</v>
      </c>
      <c r="AA32" s="29">
        <f t="shared" si="3"/>
        <v>0</v>
      </c>
      <c r="AB32" s="29">
        <f t="shared" si="4"/>
        <v>0</v>
      </c>
      <c r="AC32" s="29">
        <f t="shared" si="5"/>
        <v>0</v>
      </c>
      <c r="AD32" s="29">
        <f t="shared" si="6"/>
        <v>0</v>
      </c>
      <c r="AE32" s="29" t="b">
        <f t="shared" ref="AE32:AE34" si="47">AE31</f>
        <v>0</v>
      </c>
      <c r="AF32" s="29" t="b">
        <f t="shared" ref="AF32:AF67" si="48">AF31</f>
        <v>0</v>
      </c>
    </row>
    <row r="33" spans="1:32" ht="20.45" customHeight="1" x14ac:dyDescent="0.25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71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7"/>
      <c r="H33" s="25"/>
      <c r="I33" s="25"/>
      <c r="J33" s="36"/>
      <c r="K33" s="8" t="str">
        <f>IF(ISBLANK(G33), "", G33)</f>
        <v/>
      </c>
      <c r="L33" s="37"/>
      <c r="M33" s="25"/>
      <c r="N33" s="25"/>
      <c r="O33" s="36"/>
      <c r="P33" s="8" t="str">
        <f>CONCATENATE(IF(NOT(ISBLANK(G33)), G33, ""),IF(NOT(ISBLANK(L33)), CONCATENATE(", ", L33), ""))</f>
        <v/>
      </c>
      <c r="Q33" s="37"/>
      <c r="R33" s="25"/>
      <c r="S33" s="25"/>
      <c r="T33" s="36"/>
      <c r="U33" s="43"/>
      <c r="V33" s="44"/>
      <c r="W33" s="3" t="b">
        <f t="shared" si="1"/>
        <v>0</v>
      </c>
      <c r="X33" s="3" t="b">
        <f t="shared" si="2"/>
        <v>0</v>
      </c>
      <c r="Y33" s="3" t="b">
        <f t="shared" si="0"/>
        <v>0</v>
      </c>
      <c r="Z33" s="29">
        <f>SUMPRODUCT(1/COUNTIF(AA33:AD33, AA33:AD33))</f>
        <v>1</v>
      </c>
      <c r="AA33" s="29">
        <f t="shared" si="3"/>
        <v>0</v>
      </c>
      <c r="AB33" s="29">
        <f t="shared" si="4"/>
        <v>0</v>
      </c>
      <c r="AC33" s="29">
        <f t="shared" si="5"/>
        <v>0</v>
      </c>
      <c r="AD33" s="29">
        <f t="shared" si="6"/>
        <v>0</v>
      </c>
      <c r="AE33" s="29" t="b">
        <f t="shared" ref="AE33:AE34" si="49">AND(NOT(ISBLANK(A33)), K33=K34)</f>
        <v>0</v>
      </c>
      <c r="AF33" s="29" t="b">
        <f t="shared" ref="AF33:AF67" si="50">AND(NOT(ISBLANK(A33)), OR(K33=K34, P33=P34))</f>
        <v>0</v>
      </c>
    </row>
    <row r="34" spans="1:32" ht="20.45" customHeight="1" thickBot="1" x14ac:dyDescent="0.3">
      <c r="A34" s="26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72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38"/>
      <c r="H34" s="39"/>
      <c r="I34" s="39"/>
      <c r="J34" s="40"/>
      <c r="K34" s="12" t="str">
        <f>IF(ISBLANK(G34), "", G34)</f>
        <v/>
      </c>
      <c r="L34" s="38"/>
      <c r="M34" s="39"/>
      <c r="N34" s="39"/>
      <c r="O34" s="40"/>
      <c r="P34" s="12" t="str">
        <f>CONCATENATE(IF(NOT(ISBLANK(G34)), G34, ""),IF(NOT(ISBLANK(L34)), CONCATENATE(", ", L34), ""))</f>
        <v/>
      </c>
      <c r="Q34" s="38"/>
      <c r="R34" s="39"/>
      <c r="S34" s="39"/>
      <c r="T34" s="40"/>
      <c r="U34" s="45"/>
      <c r="V34" s="46"/>
      <c r="W34" s="3" t="b">
        <f t="shared" si="1"/>
        <v>0</v>
      </c>
      <c r="X34" s="3" t="b">
        <f t="shared" si="2"/>
        <v>0</v>
      </c>
      <c r="Y34" s="3" t="b">
        <f t="shared" si="0"/>
        <v>0</v>
      </c>
      <c r="Z34" s="29">
        <f>Z33</f>
        <v>1</v>
      </c>
      <c r="AA34" s="29">
        <f t="shared" si="3"/>
        <v>0</v>
      </c>
      <c r="AB34" s="29">
        <f t="shared" si="4"/>
        <v>0</v>
      </c>
      <c r="AC34" s="29">
        <f t="shared" si="5"/>
        <v>0</v>
      </c>
      <c r="AD34" s="29">
        <f t="shared" si="6"/>
        <v>0</v>
      </c>
      <c r="AE34" s="29" t="b">
        <f t="shared" ref="AE34:AF34" si="51">AE33</f>
        <v>0</v>
      </c>
      <c r="AF34" s="29" t="b">
        <f t="shared" si="51"/>
        <v>0</v>
      </c>
    </row>
    <row r="35" spans="1:32" hidden="1" x14ac:dyDescent="0.25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/>
    </row>
    <row r="36" spans="1:32" hidden="1" x14ac:dyDescent="0.25">
      <c r="H36" s="29" t="b">
        <f t="shared" ref="H36:H67" si="52"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/>
    </row>
    <row r="37" spans="1:32" hidden="1" x14ac:dyDescent="0.25">
      <c r="H37" s="29" t="b">
        <f t="shared" si="52"/>
        <v>0</v>
      </c>
      <c r="M37" s="29" t="b">
        <f t="shared" ref="M37:M67" si="53">IF(ISBLANK(M4), FALSE, ISERROR(MATCH(M4, $N$3:$N$34,0)))</f>
        <v>0</v>
      </c>
      <c r="R37" s="29" t="b">
        <f t="shared" ref="R37:R67" si="54">IF(ISBLANK(R4), FALSE, ISERROR(MATCH(R4, $S$3:$S$34,0)))</f>
        <v>0</v>
      </c>
      <c r="Y37" s="3"/>
    </row>
    <row r="38" spans="1:32" hidden="1" x14ac:dyDescent="0.25">
      <c r="H38" s="29" t="b">
        <f t="shared" si="52"/>
        <v>0</v>
      </c>
      <c r="M38" s="29" t="b">
        <f t="shared" si="53"/>
        <v>0</v>
      </c>
      <c r="R38" s="29" t="b">
        <f t="shared" si="54"/>
        <v>0</v>
      </c>
      <c r="Y38" s="3"/>
    </row>
    <row r="39" spans="1:32" hidden="1" x14ac:dyDescent="0.25">
      <c r="H39" s="29" t="b">
        <f t="shared" si="52"/>
        <v>0</v>
      </c>
      <c r="M39" s="29" t="b">
        <f t="shared" si="53"/>
        <v>0</v>
      </c>
      <c r="R39" s="29" t="b">
        <f t="shared" si="54"/>
        <v>0</v>
      </c>
      <c r="Y39" s="3"/>
    </row>
    <row r="40" spans="1:32" hidden="1" x14ac:dyDescent="0.25">
      <c r="H40" s="29" t="b">
        <f t="shared" si="52"/>
        <v>0</v>
      </c>
      <c r="M40" s="29" t="b">
        <f t="shared" si="53"/>
        <v>0</v>
      </c>
      <c r="R40" s="29" t="b">
        <f t="shared" si="54"/>
        <v>0</v>
      </c>
      <c r="Y40" s="3"/>
    </row>
    <row r="41" spans="1:32" hidden="1" x14ac:dyDescent="0.25">
      <c r="H41" s="29" t="b">
        <f t="shared" si="52"/>
        <v>0</v>
      </c>
      <c r="M41" s="29" t="b">
        <f t="shared" si="53"/>
        <v>0</v>
      </c>
      <c r="R41" s="29" t="b">
        <f t="shared" si="54"/>
        <v>0</v>
      </c>
      <c r="Y41" s="3"/>
    </row>
    <row r="42" spans="1:32" hidden="1" x14ac:dyDescent="0.25">
      <c r="H42" s="29" t="b">
        <f t="shared" si="52"/>
        <v>0</v>
      </c>
      <c r="M42" s="29" t="b">
        <f t="shared" si="53"/>
        <v>0</v>
      </c>
      <c r="R42" s="29" t="b">
        <f t="shared" si="54"/>
        <v>0</v>
      </c>
      <c r="Y42" s="3"/>
    </row>
    <row r="43" spans="1:32" hidden="1" x14ac:dyDescent="0.25">
      <c r="H43" s="29" t="b">
        <f t="shared" si="52"/>
        <v>0</v>
      </c>
      <c r="M43" s="29" t="b">
        <f t="shared" si="53"/>
        <v>0</v>
      </c>
      <c r="R43" s="29" t="b">
        <f t="shared" si="54"/>
        <v>0</v>
      </c>
      <c r="Y43" s="3"/>
    </row>
    <row r="44" spans="1:32" hidden="1" x14ac:dyDescent="0.25">
      <c r="H44" s="29" t="b">
        <f t="shared" si="52"/>
        <v>0</v>
      </c>
      <c r="M44" s="29" t="b">
        <f t="shared" si="53"/>
        <v>0</v>
      </c>
      <c r="R44" s="29" t="b">
        <f t="shared" si="54"/>
        <v>0</v>
      </c>
      <c r="Y44" s="3"/>
    </row>
    <row r="45" spans="1:32" hidden="1" x14ac:dyDescent="0.25">
      <c r="H45" s="29" t="b">
        <f t="shared" si="52"/>
        <v>0</v>
      </c>
      <c r="M45" s="29" t="b">
        <f t="shared" si="53"/>
        <v>0</v>
      </c>
      <c r="R45" s="29" t="b">
        <f t="shared" si="54"/>
        <v>0</v>
      </c>
      <c r="Y45" s="3"/>
    </row>
    <row r="46" spans="1:32" hidden="1" x14ac:dyDescent="0.25">
      <c r="H46" s="29" t="b">
        <f t="shared" si="52"/>
        <v>0</v>
      </c>
      <c r="M46" s="29" t="b">
        <f t="shared" si="53"/>
        <v>0</v>
      </c>
      <c r="R46" s="29" t="b">
        <f t="shared" si="54"/>
        <v>0</v>
      </c>
      <c r="Y46" s="3"/>
    </row>
    <row r="47" spans="1:32" hidden="1" x14ac:dyDescent="0.25">
      <c r="H47" s="29" t="b">
        <f t="shared" si="52"/>
        <v>0</v>
      </c>
      <c r="M47" s="29" t="b">
        <f t="shared" si="53"/>
        <v>0</v>
      </c>
      <c r="R47" s="29" t="b">
        <f t="shared" si="54"/>
        <v>0</v>
      </c>
      <c r="Y47" s="3"/>
    </row>
    <row r="48" spans="1:32" hidden="1" x14ac:dyDescent="0.25">
      <c r="H48" s="29" t="b">
        <f t="shared" si="52"/>
        <v>0</v>
      </c>
      <c r="M48" s="29" t="b">
        <f t="shared" si="53"/>
        <v>0</v>
      </c>
      <c r="R48" s="29" t="b">
        <f t="shared" si="54"/>
        <v>0</v>
      </c>
      <c r="Y48" s="3"/>
    </row>
    <row r="49" spans="8:25" hidden="1" x14ac:dyDescent="0.25">
      <c r="H49" s="29" t="b">
        <f t="shared" si="52"/>
        <v>0</v>
      </c>
      <c r="M49" s="29" t="b">
        <f t="shared" si="53"/>
        <v>0</v>
      </c>
      <c r="R49" s="29" t="b">
        <f t="shared" si="54"/>
        <v>0</v>
      </c>
      <c r="Y49" s="3"/>
    </row>
    <row r="50" spans="8:25" hidden="1" x14ac:dyDescent="0.25">
      <c r="H50" s="29" t="b">
        <f t="shared" si="52"/>
        <v>0</v>
      </c>
      <c r="M50" s="29" t="b">
        <f t="shared" si="53"/>
        <v>0</v>
      </c>
      <c r="R50" s="29" t="b">
        <f t="shared" si="54"/>
        <v>0</v>
      </c>
      <c r="Y50" s="3"/>
    </row>
    <row r="51" spans="8:25" hidden="1" x14ac:dyDescent="0.25">
      <c r="H51" s="29" t="b">
        <f t="shared" si="52"/>
        <v>0</v>
      </c>
      <c r="M51" s="29" t="b">
        <f t="shared" si="53"/>
        <v>0</v>
      </c>
      <c r="R51" s="29" t="b">
        <f t="shared" si="54"/>
        <v>0</v>
      </c>
      <c r="Y51" s="3"/>
    </row>
    <row r="52" spans="8:25" hidden="1" x14ac:dyDescent="0.25">
      <c r="H52" s="29" t="b">
        <f t="shared" si="52"/>
        <v>0</v>
      </c>
      <c r="M52" s="29" t="b">
        <f t="shared" si="53"/>
        <v>0</v>
      </c>
      <c r="R52" s="29" t="b">
        <f t="shared" si="54"/>
        <v>0</v>
      </c>
      <c r="Y52" s="3"/>
    </row>
    <row r="53" spans="8:25" hidden="1" x14ac:dyDescent="0.25">
      <c r="H53" s="29" t="b">
        <f t="shared" si="52"/>
        <v>0</v>
      </c>
      <c r="M53" s="29" t="b">
        <f t="shared" si="53"/>
        <v>0</v>
      </c>
      <c r="R53" s="29" t="b">
        <f t="shared" si="54"/>
        <v>0</v>
      </c>
      <c r="Y53" s="3"/>
    </row>
    <row r="54" spans="8:25" hidden="1" x14ac:dyDescent="0.25">
      <c r="H54" s="29" t="b">
        <f t="shared" si="52"/>
        <v>0</v>
      </c>
      <c r="M54" s="29" t="b">
        <f t="shared" si="53"/>
        <v>0</v>
      </c>
      <c r="R54" s="29" t="b">
        <f t="shared" si="54"/>
        <v>0</v>
      </c>
      <c r="Y54" s="3"/>
    </row>
    <row r="55" spans="8:25" hidden="1" x14ac:dyDescent="0.25">
      <c r="H55" s="29" t="b">
        <f t="shared" si="52"/>
        <v>0</v>
      </c>
      <c r="M55" s="29" t="b">
        <f t="shared" si="53"/>
        <v>0</v>
      </c>
      <c r="R55" s="29" t="b">
        <f t="shared" si="54"/>
        <v>0</v>
      </c>
      <c r="Y55" s="3"/>
    </row>
    <row r="56" spans="8:25" hidden="1" x14ac:dyDescent="0.25">
      <c r="H56" s="29" t="b">
        <f t="shared" si="52"/>
        <v>0</v>
      </c>
      <c r="M56" s="29" t="b">
        <f t="shared" si="53"/>
        <v>0</v>
      </c>
      <c r="R56" s="29" t="b">
        <f t="shared" si="54"/>
        <v>0</v>
      </c>
      <c r="Y56" s="3"/>
    </row>
    <row r="57" spans="8:25" hidden="1" x14ac:dyDescent="0.25">
      <c r="H57" s="29" t="b">
        <f t="shared" si="52"/>
        <v>0</v>
      </c>
      <c r="M57" s="29" t="b">
        <f t="shared" si="53"/>
        <v>0</v>
      </c>
      <c r="R57" s="29" t="b">
        <f t="shared" si="54"/>
        <v>0</v>
      </c>
      <c r="Y57" s="3"/>
    </row>
    <row r="58" spans="8:25" hidden="1" x14ac:dyDescent="0.25">
      <c r="H58" s="29" t="b">
        <f t="shared" si="52"/>
        <v>0</v>
      </c>
      <c r="M58" s="29" t="b">
        <f t="shared" si="53"/>
        <v>0</v>
      </c>
      <c r="R58" s="29" t="b">
        <f t="shared" si="54"/>
        <v>0</v>
      </c>
      <c r="Y58" s="3"/>
    </row>
    <row r="59" spans="8:25" hidden="1" x14ac:dyDescent="0.25">
      <c r="H59" s="29" t="b">
        <f t="shared" si="52"/>
        <v>0</v>
      </c>
      <c r="M59" s="29" t="b">
        <f t="shared" si="53"/>
        <v>0</v>
      </c>
      <c r="R59" s="29" t="b">
        <f t="shared" si="54"/>
        <v>0</v>
      </c>
      <c r="Y59" s="3"/>
    </row>
    <row r="60" spans="8:25" hidden="1" x14ac:dyDescent="0.25">
      <c r="H60" s="29" t="b">
        <f t="shared" si="52"/>
        <v>0</v>
      </c>
      <c r="M60" s="29" t="b">
        <f t="shared" si="53"/>
        <v>0</v>
      </c>
      <c r="R60" s="29" t="b">
        <f t="shared" si="54"/>
        <v>0</v>
      </c>
      <c r="Y60" s="3"/>
    </row>
    <row r="61" spans="8:25" hidden="1" x14ac:dyDescent="0.25">
      <c r="H61" s="29" t="b">
        <f t="shared" si="52"/>
        <v>0</v>
      </c>
      <c r="M61" s="29" t="b">
        <f t="shared" si="53"/>
        <v>0</v>
      </c>
      <c r="R61" s="29" t="b">
        <f t="shared" si="54"/>
        <v>0</v>
      </c>
      <c r="Y61" s="3"/>
    </row>
    <row r="62" spans="8:25" hidden="1" x14ac:dyDescent="0.25">
      <c r="H62" s="29" t="b">
        <f t="shared" si="52"/>
        <v>0</v>
      </c>
      <c r="M62" s="29" t="b">
        <f t="shared" si="53"/>
        <v>0</v>
      </c>
      <c r="R62" s="29" t="b">
        <f t="shared" si="54"/>
        <v>0</v>
      </c>
      <c r="Y62" s="3"/>
    </row>
    <row r="63" spans="8:25" hidden="1" x14ac:dyDescent="0.25">
      <c r="H63" s="29" t="b">
        <f t="shared" si="52"/>
        <v>0</v>
      </c>
      <c r="M63" s="29" t="b">
        <f t="shared" si="53"/>
        <v>0</v>
      </c>
      <c r="R63" s="29" t="b">
        <f t="shared" si="54"/>
        <v>0</v>
      </c>
      <c r="Y63" s="3"/>
    </row>
    <row r="64" spans="8:25" hidden="1" x14ac:dyDescent="0.25">
      <c r="H64" s="29" t="b">
        <f t="shared" si="52"/>
        <v>0</v>
      </c>
      <c r="M64" s="29" t="b">
        <f t="shared" si="53"/>
        <v>0</v>
      </c>
      <c r="R64" s="29" t="b">
        <f t="shared" si="54"/>
        <v>0</v>
      </c>
      <c r="Y64" s="3"/>
    </row>
    <row r="65" spans="1:25" hidden="1" x14ac:dyDescent="0.25">
      <c r="H65" s="29" t="b">
        <f t="shared" si="52"/>
        <v>0</v>
      </c>
      <c r="M65" s="29" t="b">
        <f t="shared" si="53"/>
        <v>0</v>
      </c>
      <c r="R65" s="29" t="b">
        <f t="shared" si="54"/>
        <v>0</v>
      </c>
      <c r="Y65" s="3"/>
    </row>
    <row r="66" spans="1:25" hidden="1" x14ac:dyDescent="0.25">
      <c r="H66" s="29" t="b">
        <f>IF(ISBLANK(H33), FALSE, ISERROR(MATCH(H33, $I$3:$I$34,0)))</f>
        <v>0</v>
      </c>
      <c r="M66" s="29" t="b">
        <f t="shared" si="53"/>
        <v>0</v>
      </c>
      <c r="R66" s="29" t="b">
        <f t="shared" si="54"/>
        <v>0</v>
      </c>
      <c r="Y66" s="3"/>
    </row>
    <row r="67" spans="1:25" hidden="1" x14ac:dyDescent="0.25">
      <c r="H67" s="29" t="b">
        <f t="shared" si="52"/>
        <v>0</v>
      </c>
      <c r="M67" s="29" t="b">
        <f t="shared" si="53"/>
        <v>0</v>
      </c>
      <c r="R67" s="29" t="b">
        <f t="shared" si="54"/>
        <v>0</v>
      </c>
      <c r="Y67" s="3"/>
    </row>
    <row r="68" spans="1:25" hidden="1" x14ac:dyDescent="0.25"/>
    <row r="69" spans="1:25" hidden="1" x14ac:dyDescent="0.25">
      <c r="A69" s="75"/>
    </row>
    <row r="70" spans="1:25" hidden="1" x14ac:dyDescent="0.25"/>
    <row r="71" spans="1:25" hidden="1" x14ac:dyDescent="0.25"/>
    <row r="72" spans="1:25" hidden="1" x14ac:dyDescent="0.25"/>
    <row r="73" spans="1:25" hidden="1" x14ac:dyDescent="0.25"/>
    <row r="74" spans="1:25" hidden="1" x14ac:dyDescent="0.25"/>
    <row r="75" spans="1:25" hidden="1" x14ac:dyDescent="0.25"/>
    <row r="76" spans="1:25" hidden="1" x14ac:dyDescent="0.25"/>
    <row r="77" spans="1:25" hidden="1" x14ac:dyDescent="0.25"/>
    <row r="78" spans="1:25" hidden="1" x14ac:dyDescent="0.25"/>
    <row r="79" spans="1:25" hidden="1" x14ac:dyDescent="0.25"/>
    <row r="80" spans="1:25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spans="8:8" hidden="1" x14ac:dyDescent="0.25"/>
    <row r="226" spans="8:8" hidden="1" x14ac:dyDescent="0.25"/>
    <row r="227" spans="8:8" hidden="1" x14ac:dyDescent="0.25"/>
    <row r="228" spans="8:8" hidden="1" x14ac:dyDescent="0.25"/>
    <row r="229" spans="8:8" hidden="1" x14ac:dyDescent="0.25"/>
    <row r="230" spans="8:8" hidden="1" x14ac:dyDescent="0.25"/>
    <row r="231" spans="8:8" hidden="1" x14ac:dyDescent="0.25"/>
    <row r="232" spans="8:8" hidden="1" x14ac:dyDescent="0.25"/>
    <row r="233" spans="8:8" hidden="1" x14ac:dyDescent="0.25"/>
    <row r="234" spans="8:8" hidden="1" x14ac:dyDescent="0.25"/>
    <row r="235" spans="8:8" hidden="1" x14ac:dyDescent="0.25">
      <c r="H235" s="29" t="str">
        <f t="shared" ref="H235:H258" si="55">IF(ISERROR(MATCH(H202, $I$3:$I$34,0)), "", H202)</f>
        <v/>
      </c>
    </row>
    <row r="236" spans="8:8" hidden="1" x14ac:dyDescent="0.25">
      <c r="H236" s="29" t="str">
        <f t="shared" si="55"/>
        <v/>
      </c>
    </row>
    <row r="237" spans="8:8" hidden="1" x14ac:dyDescent="0.25">
      <c r="H237" s="29" t="str">
        <f t="shared" si="55"/>
        <v/>
      </c>
    </row>
    <row r="238" spans="8:8" hidden="1" x14ac:dyDescent="0.25">
      <c r="H238" s="29" t="str">
        <f t="shared" si="55"/>
        <v/>
      </c>
    </row>
    <row r="239" spans="8:8" hidden="1" x14ac:dyDescent="0.25">
      <c r="H239" s="29" t="str">
        <f t="shared" si="55"/>
        <v/>
      </c>
    </row>
    <row r="240" spans="8:8" hidden="1" x14ac:dyDescent="0.25">
      <c r="H240" s="29" t="str">
        <f t="shared" si="55"/>
        <v/>
      </c>
    </row>
    <row r="241" spans="8:8" hidden="1" x14ac:dyDescent="0.25">
      <c r="H241" s="29" t="str">
        <f t="shared" si="55"/>
        <v/>
      </c>
    </row>
    <row r="242" spans="8:8" hidden="1" x14ac:dyDescent="0.25">
      <c r="H242" s="29" t="str">
        <f t="shared" si="55"/>
        <v/>
      </c>
    </row>
    <row r="243" spans="8:8" hidden="1" x14ac:dyDescent="0.25">
      <c r="H243" s="29" t="str">
        <f t="shared" si="55"/>
        <v/>
      </c>
    </row>
    <row r="244" spans="8:8" hidden="1" x14ac:dyDescent="0.25">
      <c r="H244" s="29" t="str">
        <f t="shared" si="55"/>
        <v/>
      </c>
    </row>
    <row r="245" spans="8:8" hidden="1" x14ac:dyDescent="0.25">
      <c r="H245" s="29" t="str">
        <f t="shared" si="55"/>
        <v/>
      </c>
    </row>
    <row r="246" spans="8:8" hidden="1" x14ac:dyDescent="0.25">
      <c r="H246" s="29" t="str">
        <f t="shared" si="55"/>
        <v/>
      </c>
    </row>
    <row r="247" spans="8:8" hidden="1" x14ac:dyDescent="0.25">
      <c r="H247" s="29" t="str">
        <f t="shared" si="55"/>
        <v/>
      </c>
    </row>
    <row r="248" spans="8:8" hidden="1" x14ac:dyDescent="0.25">
      <c r="H248" s="29" t="str">
        <f t="shared" si="55"/>
        <v/>
      </c>
    </row>
    <row r="249" spans="8:8" hidden="1" x14ac:dyDescent="0.25">
      <c r="H249" s="29" t="str">
        <f t="shared" si="55"/>
        <v/>
      </c>
    </row>
    <row r="250" spans="8:8" hidden="1" x14ac:dyDescent="0.25">
      <c r="H250" s="29" t="str">
        <f t="shared" si="55"/>
        <v/>
      </c>
    </row>
    <row r="251" spans="8:8" hidden="1" x14ac:dyDescent="0.25">
      <c r="H251" s="29" t="str">
        <f t="shared" si="55"/>
        <v/>
      </c>
    </row>
    <row r="252" spans="8:8" hidden="1" x14ac:dyDescent="0.25">
      <c r="H252" s="29" t="str">
        <f t="shared" si="55"/>
        <v/>
      </c>
    </row>
    <row r="253" spans="8:8" hidden="1" x14ac:dyDescent="0.25">
      <c r="H253" s="29" t="str">
        <f t="shared" si="55"/>
        <v/>
      </c>
    </row>
    <row r="254" spans="8:8" hidden="1" x14ac:dyDescent="0.25">
      <c r="H254" s="29" t="str">
        <f t="shared" si="55"/>
        <v/>
      </c>
    </row>
    <row r="255" spans="8:8" hidden="1" x14ac:dyDescent="0.25">
      <c r="H255" s="29" t="str">
        <f t="shared" si="55"/>
        <v/>
      </c>
    </row>
    <row r="256" spans="8:8" hidden="1" x14ac:dyDescent="0.25">
      <c r="H256" s="29" t="str">
        <f t="shared" si="55"/>
        <v/>
      </c>
    </row>
    <row r="257" spans="8:8" hidden="1" x14ac:dyDescent="0.25">
      <c r="H257" s="29" t="str">
        <f t="shared" si="55"/>
        <v/>
      </c>
    </row>
    <row r="258" spans="8:8" hidden="1" x14ac:dyDescent="0.25">
      <c r="H258" s="29" t="str">
        <f t="shared" si="55"/>
        <v/>
      </c>
    </row>
  </sheetData>
  <sheetProtection sheet="1" selectLockedCells="1"/>
  <sortState xmlns:xlrd2="http://schemas.microsoft.com/office/spreadsheetml/2017/richdata2"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M3:N34">
    <cfRule type="expression" dxfId="42" priority="61">
      <formula>$M$35</formula>
    </cfRule>
  </conditionalFormatting>
  <conditionalFormatting sqref="R3:S34">
    <cfRule type="expression" dxfId="41" priority="60">
      <formula>$R$35</formula>
    </cfRule>
  </conditionalFormatting>
  <conditionalFormatting sqref="P3">
    <cfRule type="expression" dxfId="40" priority="50">
      <formula>$Y3</formula>
    </cfRule>
  </conditionalFormatting>
  <conditionalFormatting sqref="P4">
    <cfRule type="expression" dxfId="39" priority="49">
      <formula>$Y4</formula>
    </cfRule>
  </conditionalFormatting>
  <conditionalFormatting sqref="P5">
    <cfRule type="expression" dxfId="38" priority="48">
      <formula>$Y5</formula>
    </cfRule>
  </conditionalFormatting>
  <conditionalFormatting sqref="P6">
    <cfRule type="expression" dxfId="37" priority="47">
      <formula>$Y6</formula>
    </cfRule>
  </conditionalFormatting>
  <conditionalFormatting sqref="P7">
    <cfRule type="expression" dxfId="36" priority="46">
      <formula>$Y7</formula>
    </cfRule>
  </conditionalFormatting>
  <conditionalFormatting sqref="P8">
    <cfRule type="expression" dxfId="35" priority="45">
      <formula>$Y8</formula>
    </cfRule>
  </conditionalFormatting>
  <conditionalFormatting sqref="P9">
    <cfRule type="expression" dxfId="34" priority="44">
      <formula>$Y9</formula>
    </cfRule>
  </conditionalFormatting>
  <conditionalFormatting sqref="P10">
    <cfRule type="expression" dxfId="33" priority="43">
      <formula>$Y10</formula>
    </cfRule>
  </conditionalFormatting>
  <conditionalFormatting sqref="P11">
    <cfRule type="expression" dxfId="32" priority="42">
      <formula>$Y11</formula>
    </cfRule>
  </conditionalFormatting>
  <conditionalFormatting sqref="P12">
    <cfRule type="expression" dxfId="31" priority="41">
      <formula>$Y12</formula>
    </cfRule>
  </conditionalFormatting>
  <conditionalFormatting sqref="P13">
    <cfRule type="expression" dxfId="30" priority="40">
      <formula>$Y13</formula>
    </cfRule>
  </conditionalFormatting>
  <conditionalFormatting sqref="P14">
    <cfRule type="expression" dxfId="29" priority="39">
      <formula>$Y14</formula>
    </cfRule>
  </conditionalFormatting>
  <conditionalFormatting sqref="P15">
    <cfRule type="expression" dxfId="28" priority="38">
      <formula>$Y15</formula>
    </cfRule>
  </conditionalFormatting>
  <conditionalFormatting sqref="P16">
    <cfRule type="expression" dxfId="27" priority="37">
      <formula>$Y16</formula>
    </cfRule>
  </conditionalFormatting>
  <conditionalFormatting sqref="P17">
    <cfRule type="expression" dxfId="26" priority="36">
      <formula>$Y17</formula>
    </cfRule>
  </conditionalFormatting>
  <conditionalFormatting sqref="P18">
    <cfRule type="expression" dxfId="25" priority="34">
      <formula>$Y18</formula>
    </cfRule>
  </conditionalFormatting>
  <conditionalFormatting sqref="P19">
    <cfRule type="expression" dxfId="24" priority="33">
      <formula>$Y19</formula>
    </cfRule>
  </conditionalFormatting>
  <conditionalFormatting sqref="P20">
    <cfRule type="expression" dxfId="23" priority="32">
      <formula>$Y20</formula>
    </cfRule>
  </conditionalFormatting>
  <conditionalFormatting sqref="P21">
    <cfRule type="expression" dxfId="22" priority="31">
      <formula>$Y21</formula>
    </cfRule>
  </conditionalFormatting>
  <conditionalFormatting sqref="P22">
    <cfRule type="expression" dxfId="21" priority="30">
      <formula>$Y22</formula>
    </cfRule>
  </conditionalFormatting>
  <conditionalFormatting sqref="P23">
    <cfRule type="expression" dxfId="20" priority="29">
      <formula>$Y23</formula>
    </cfRule>
  </conditionalFormatting>
  <conditionalFormatting sqref="P24">
    <cfRule type="expression" dxfId="19" priority="28">
      <formula>$Y24</formula>
    </cfRule>
  </conditionalFormatting>
  <conditionalFormatting sqref="P25">
    <cfRule type="expression" dxfId="18" priority="27">
      <formula>$Y25</formula>
    </cfRule>
  </conditionalFormatting>
  <conditionalFormatting sqref="P26">
    <cfRule type="expression" dxfId="17" priority="26">
      <formula>$Y26</formula>
    </cfRule>
  </conditionalFormatting>
  <conditionalFormatting sqref="P27">
    <cfRule type="expression" dxfId="16" priority="25">
      <formula>$Y27</formula>
    </cfRule>
  </conditionalFormatting>
  <conditionalFormatting sqref="P28">
    <cfRule type="expression" dxfId="15" priority="24">
      <formula>$Y28</formula>
    </cfRule>
  </conditionalFormatting>
  <conditionalFormatting sqref="P29">
    <cfRule type="expression" dxfId="14" priority="23">
      <formula>$Y29</formula>
    </cfRule>
  </conditionalFormatting>
  <conditionalFormatting sqref="P30">
    <cfRule type="expression" dxfId="13" priority="22">
      <formula>$Y30</formula>
    </cfRule>
  </conditionalFormatting>
  <conditionalFormatting sqref="P31">
    <cfRule type="expression" dxfId="12" priority="21">
      <formula>$Y31</formula>
    </cfRule>
  </conditionalFormatting>
  <conditionalFormatting sqref="P32">
    <cfRule type="expression" dxfId="11" priority="19">
      <formula>$Y32</formula>
    </cfRule>
  </conditionalFormatting>
  <conditionalFormatting sqref="P33">
    <cfRule type="expression" dxfId="10" priority="18">
      <formula>$Y33</formula>
    </cfRule>
  </conditionalFormatting>
  <conditionalFormatting sqref="P34">
    <cfRule type="expression" dxfId="9" priority="17">
      <formula>$Y34</formula>
    </cfRule>
  </conditionalFormatting>
  <conditionalFormatting sqref="H3:I34">
    <cfRule type="expression" dxfId="8" priority="16">
      <formula>$H$35</formula>
    </cfRule>
  </conditionalFormatting>
  <conditionalFormatting sqref="L3">
    <cfRule type="expression" dxfId="7" priority="14">
      <formula>$W3</formula>
    </cfRule>
  </conditionalFormatting>
  <conditionalFormatting sqref="L4:L34">
    <cfRule type="expression" dxfId="6" priority="13">
      <formula>$W4</formula>
    </cfRule>
  </conditionalFormatting>
  <conditionalFormatting sqref="Q3">
    <cfRule type="expression" dxfId="5" priority="12">
      <formula>$X3</formula>
    </cfRule>
  </conditionalFormatting>
  <conditionalFormatting sqref="Q4:Q34">
    <cfRule type="expression" dxfId="4" priority="11">
      <formula>$X4</formula>
    </cfRule>
  </conditionalFormatting>
  <conditionalFormatting sqref="J3:J34">
    <cfRule type="expression" dxfId="3" priority="6">
      <formula>AND(NOT(ISBLANK(H3)), NOT(ISBLANK(I3)), H3=I3,ISBLANK(J3))</formula>
    </cfRule>
  </conditionalFormatting>
  <conditionalFormatting sqref="O3:O34">
    <cfRule type="expression" dxfId="2" priority="5">
      <formula>AND(NOT(ISBLANK(M3)), NOT(ISBLANK(N3)), M3=N3, ISBLANK(O3))</formula>
    </cfRule>
  </conditionalFormatting>
  <conditionalFormatting sqref="T3:T34">
    <cfRule type="expression" priority="4">
      <formula>AND(COUNTA(R3:S3), R3=S3, ISBLANK(T3))</formula>
    </cfRule>
  </conditionalFormatting>
  <conditionalFormatting sqref="L3:L34">
    <cfRule type="expression" dxfId="1" priority="3">
      <formula>AND($Y$1, $Y$2, AE3)</formula>
    </cfRule>
  </conditionalFormatting>
  <conditionalFormatting sqref="Q3:Q34">
    <cfRule type="expression" dxfId="0" priority="2">
      <formula>AND($Z$1, $Z$2, AF3)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 macro="[0]!CheckBox1_Click">
                <anchor moveWithCells="1">
                  <from>
                    <xdr:col>0</xdr:col>
                    <xdr:colOff>200025</xdr:colOff>
                    <xdr:row>0</xdr:row>
                    <xdr:rowOff>0</xdr:rowOff>
                  </from>
                  <to>
                    <xdr:col>0</xdr:col>
                    <xdr:colOff>2057400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8"/>
  <sheetViews>
    <sheetView showGridLines="0" showRowColHeaders="0" zoomScaleNormal="100" workbookViewId="0">
      <selection activeCell="A20" sqref="A20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7">
        <v>1</v>
      </c>
      <c r="B2" s="55" t="str">
        <f t="array" ref="B2">IFERROR(INDEX(Teams, SMALL(IF(Rink1 = $A$2, ROW(Rink1) - ROW(INDEX(Rink1,1,1)) + 1), 1)), "")</f>
        <v/>
      </c>
      <c r="C2" s="51" t="str">
        <f t="array" ref="C2">IFERROR(INDEX(Wins, MATCH(B2, Teams, 0)), "")</f>
        <v/>
      </c>
      <c r="D2" s="51" t="str">
        <f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74"/>
      <c r="H2" s="101">
        <v>9</v>
      </c>
      <c r="I2" s="55" t="str">
        <f t="array" ref="I2">IFERROR(INDEX(Teams, SMALL(IF(Rink1 = $H$2, ROW(Rink1) - ROW(INDEX(Rink1,1,1))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73"/>
    </row>
    <row r="3" spans="1:15" ht="24" customHeight="1" thickBot="1" x14ac:dyDescent="0.3">
      <c r="A3" s="98"/>
      <c r="B3" s="56" t="str">
        <f t="array" ref="B3">IFERROR(INDEX(Teams, SMALL(IF(Rink1 = $A$2, ROW(Rink1) - ROW(INDEX(Rink1,1,1))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74"/>
      <c r="H3" s="102"/>
      <c r="I3" s="56" t="str">
        <f t="array" ref="I3">IFERROR(INDEX(Teams, SMALL(IF(Rink1 = $H$2, ROW(Rink1) - ROW(INDEX(Rink1,1,1))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73"/>
      <c r="O3" t="b">
        <v>0</v>
      </c>
    </row>
    <row r="4" spans="1:15" ht="24" customHeight="1" thickTop="1" x14ac:dyDescent="0.25">
      <c r="A4" s="99">
        <v>2</v>
      </c>
      <c r="B4" s="57" t="str">
        <f t="array" ref="B4">IFERROR(INDEX(Teams, SMALL(IF(Rink1 = $A$4, ROW(Rink1) - ROW(INDEX(Rink1,1,1))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74"/>
      <c r="H4" s="103">
        <v>10</v>
      </c>
      <c r="I4" s="57" t="str">
        <f t="array" ref="I4">IFERROR(INDEX(Teams, SMALL(IF(Rink1 = $H$4, ROW(Rink1) - ROW(INDEX(Rink1,1,1))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73"/>
    </row>
    <row r="5" spans="1:15" ht="24" customHeight="1" thickBot="1" x14ac:dyDescent="0.3">
      <c r="A5" s="100"/>
      <c r="B5" s="58" t="str">
        <f t="array" ref="B5">IFERROR(INDEX(Teams, SMALL(IF(Rink1 = $A$4, ROW(Rink1) - ROW(INDEX(Rink1,1,1))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74"/>
      <c r="H5" s="104"/>
      <c r="I5" s="58" t="str">
        <f t="array" ref="I5">IFERROR(INDEX(Teams, SMALL(IF(Rink1 = $H$4, ROW(Rink1) - ROW(INDEX(Rink1,1,1))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73"/>
    </row>
    <row r="6" spans="1:15" ht="24" customHeight="1" thickTop="1" x14ac:dyDescent="0.25">
      <c r="A6" s="97">
        <v>3</v>
      </c>
      <c r="B6" s="55" t="str">
        <f t="array" ref="B6">IFERROR(INDEX(Teams, SMALL(IF(Rink1 = $A$6, ROW(Rink1) - ROW(INDEX(Rink1,1,1))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74"/>
      <c r="H6" s="101">
        <v>11</v>
      </c>
      <c r="I6" s="55" t="str">
        <f t="array" ref="I6">IFERROR(INDEX(Teams, SMALL(IF(Rink1 = $H$6, ROW(Rink1) - ROW(INDEX(Rink1,1,1))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73"/>
    </row>
    <row r="7" spans="1:15" ht="24" customHeight="1" thickBot="1" x14ac:dyDescent="0.3">
      <c r="A7" s="98"/>
      <c r="B7" s="56" t="str">
        <f t="array" ref="B7">IFERROR(INDEX(Teams, SMALL(IF(Rink1 = $A$6, ROW(Rink1) - ROW(INDEX(Rink1,1,1))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74"/>
      <c r="H7" s="102"/>
      <c r="I7" s="56" t="str">
        <f t="array" ref="I7">IFERROR(INDEX(Teams, SMALL(IF(Rink1 = $H$6, ROW(Rink1) - ROW(INDEX(Rink1,1,1))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73"/>
    </row>
    <row r="8" spans="1:15" ht="24" customHeight="1" thickTop="1" x14ac:dyDescent="0.25">
      <c r="A8" s="99">
        <v>4</v>
      </c>
      <c r="B8" s="57" t="str">
        <f t="array" ref="B8">IFERROR(INDEX(Teams, SMALL(IF(Rink1 = $A$8, ROW(Rink1) - ROW(INDEX(Rink1,1,1))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74"/>
      <c r="H8" s="103">
        <v>12</v>
      </c>
      <c r="I8" s="57" t="str">
        <f t="array" ref="I8">IFERROR(INDEX(Teams, SMALL(IF(Rink1 = $H$8, ROW(Rink1) - ROW(INDEX(Rink1,1,1))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73"/>
    </row>
    <row r="9" spans="1:15" ht="24" customHeight="1" thickBot="1" x14ac:dyDescent="0.3">
      <c r="A9" s="100"/>
      <c r="B9" s="58" t="str">
        <f t="array" ref="B9">IFERROR(INDEX(Teams, SMALL(IF(Rink1 = $A$8, ROW(Rink1) - ROW(INDEX(Rink1,1,1))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74"/>
      <c r="H9" s="104"/>
      <c r="I9" s="58" t="str">
        <f t="array" ref="I9">IFERROR(INDEX(Teams, SMALL(IF(Rink1 = $H$8, ROW(Rink1) - ROW(INDEX(Rink1,1,1))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73"/>
    </row>
    <row r="10" spans="1:15" ht="24" customHeight="1" thickTop="1" x14ac:dyDescent="0.25">
      <c r="A10" s="97">
        <v>5</v>
      </c>
      <c r="B10" s="55" t="str">
        <f t="array" ref="B10">IFERROR(INDEX(Teams, SMALL(IF(Rink1 = $A$10, ROW(Rink1) - ROW(INDEX(Rink1,1,1))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74"/>
      <c r="H10" s="101">
        <v>13</v>
      </c>
      <c r="I10" s="55" t="str">
        <f t="array" ref="I10">IFERROR(INDEX(Teams, SMALL(IF(Rink1 = $H$10, ROW(Rink1) - ROW(INDEX(Rink1,1,1))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73"/>
    </row>
    <row r="11" spans="1:15" ht="24" customHeight="1" thickBot="1" x14ac:dyDescent="0.3">
      <c r="A11" s="98"/>
      <c r="B11" s="56" t="str">
        <f t="array" ref="B11">IFERROR(INDEX(Teams, SMALL(IF(Rink1 = $A$10, ROW(Rink1) - ROW(INDEX(Rink1,1,1))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74"/>
      <c r="H11" s="102"/>
      <c r="I11" s="56" t="str">
        <f t="array" ref="I11">IFERROR(INDEX(Teams, SMALL(IF(Rink1 = $H$10, ROW(Rink1) - ROW(INDEX(Rink1,1,1))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73"/>
    </row>
    <row r="12" spans="1:15" ht="24" customHeight="1" thickTop="1" x14ac:dyDescent="0.25">
      <c r="A12" s="99">
        <v>6</v>
      </c>
      <c r="B12" s="57" t="str">
        <f t="array" ref="B12">IFERROR(INDEX(Teams, SMALL(IF(Rink1 = $A$12, ROW(Rink1) - ROW(INDEX(Rink1,1,1))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74"/>
      <c r="H12" s="103">
        <v>14</v>
      </c>
      <c r="I12" s="57" t="str">
        <f t="array" ref="I12">IFERROR(INDEX(Teams, SMALL(IF(Rink1 = $H$12, ROW(Rink1) - ROW(INDEX(Rink1,1,1))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73"/>
    </row>
    <row r="13" spans="1:15" ht="24" customHeight="1" thickBot="1" x14ac:dyDescent="0.3">
      <c r="A13" s="100"/>
      <c r="B13" s="58" t="str">
        <f t="array" ref="B13">IFERROR(INDEX(Teams, SMALL(IF(Rink1 = $A$12, ROW(Rink1) - ROW(INDEX(Rink1,1,1))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74"/>
      <c r="H13" s="104"/>
      <c r="I13" s="58" t="str">
        <f t="array" ref="I13">IFERROR(INDEX(Teams, SMALL(IF(Rink1 = $H$12, ROW(Rink1) - ROW(INDEX(Rink1,1,1))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73"/>
    </row>
    <row r="14" spans="1:15" ht="24" customHeight="1" thickTop="1" x14ac:dyDescent="0.25">
      <c r="A14" s="97">
        <v>7</v>
      </c>
      <c r="B14" s="55" t="str">
        <f t="array" ref="B14">IFERROR(INDEX(Teams, SMALL(IF(Rink1 = $A$14, ROW(Rink1) - ROW(INDEX(Rink1,1,1))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74"/>
      <c r="H14" s="101">
        <v>15</v>
      </c>
      <c r="I14" s="55" t="str">
        <f t="array" ref="I14">IFERROR(INDEX(Teams, SMALL(IF(Rink1 = $H$14, ROW(Rink1) - ROW(INDEX(Rink1,1,1))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73"/>
    </row>
    <row r="15" spans="1:15" ht="24" customHeight="1" thickBot="1" x14ac:dyDescent="0.3">
      <c r="A15" s="98"/>
      <c r="B15" s="56" t="str">
        <f t="array" ref="B15">IFERROR(INDEX(Teams, SMALL(IF(Rink1 = $A$14, ROW(Rink1) - ROW(INDEX(Rink1,1,1))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74"/>
      <c r="H15" s="102"/>
      <c r="I15" s="56" t="str">
        <f t="array" ref="I15">IFERROR(INDEX(Teams, SMALL(IF(Rink1 = $H$14, ROW(Rink1) - ROW(INDEX(Rink1,1,1))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73"/>
    </row>
    <row r="16" spans="1:15" ht="24" customHeight="1" thickTop="1" x14ac:dyDescent="0.25">
      <c r="A16" s="99">
        <v>8</v>
      </c>
      <c r="B16" s="57" t="str">
        <f t="array" ref="B16">IFERROR(INDEX(Teams, SMALL(IF(Rink1 = $A$16, ROW(Rink1) - ROW(INDEX(Rink1,1,1))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74"/>
      <c r="H16" s="103">
        <v>16</v>
      </c>
      <c r="I16" s="57" t="str">
        <f t="array" ref="I16">IFERROR(INDEX(Teams, SMALL(IF(Rink1 = $H$16, ROW(Rink1) - ROW(INDEX(Rink1,1,1))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SMALL(IF(Rink1 = $A$16, ROW(Rink1) - ROW(INDEX(Rink1,1,1))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74"/>
      <c r="H17" s="104"/>
      <c r="I17" s="58" t="str">
        <f t="array" ref="I17">IFERROR(INDEX(Teams, SMALL(IF(Rink1 = $H$16, ROW(Rink1) - ROW(INDEX(Rink1,1,1))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14:A15"/>
    <mergeCell ref="A16:A17"/>
    <mergeCell ref="H2:H3"/>
    <mergeCell ref="H4:H5"/>
    <mergeCell ref="H6:H7"/>
    <mergeCell ref="H8:H9"/>
    <mergeCell ref="H10:H11"/>
    <mergeCell ref="H12:H13"/>
    <mergeCell ref="H14:H15"/>
    <mergeCell ref="H16:H17"/>
    <mergeCell ref="A2:A3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8"/>
  <sheetViews>
    <sheetView showGridLines="0" showRowColHeaders="0" workbookViewId="0">
      <selection activeCell="I21" sqref="I21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ht="15" customHeight="1" thickBot="1" x14ac:dyDescent="0.3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7">
        <v>1</v>
      </c>
      <c r="B2" s="55" t="str">
        <f t="array" ref="B2">IFERROR(INDEX(Teams, SMALL(IF(Rink2 = $A$2, ROW(Rink2) - ROW(INDEX(Rink2,1,1))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74"/>
      <c r="H2" s="101">
        <v>9</v>
      </c>
      <c r="I2" s="55" t="str">
        <f t="array" ref="I2">IFERROR(INDEX(Teams, SMALL(IF(Rink2 = $H$2, ROW(Rink2) - ROW(INDEX(Rink2,1,1))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73"/>
    </row>
    <row r="3" spans="1:15" ht="24" customHeight="1" thickBot="1" x14ac:dyDescent="0.3">
      <c r="A3" s="98"/>
      <c r="B3" s="56" t="str">
        <f t="array" ref="B3">IFERROR(INDEX(Teams, SMALL(IF(Rink2 = $A$2, ROW(Rink2) - ROW(INDEX(Rink2,1,1))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74"/>
      <c r="H3" s="102"/>
      <c r="I3" s="56" t="str">
        <f t="array" ref="I3">IFERROR(INDEX(Teams, SMALL(IF(Rink2 = $H$2, ROW(Rink2) - ROW(INDEX(Rink2,1,1))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73"/>
      <c r="O3" t="b">
        <v>0</v>
      </c>
    </row>
    <row r="4" spans="1:15" ht="24" customHeight="1" thickTop="1" x14ac:dyDescent="0.25">
      <c r="A4" s="99">
        <v>2</v>
      </c>
      <c r="B4" s="57" t="str">
        <f t="array" ref="B4">IFERROR(INDEX(Teams, SMALL(IF(Rink2 = $A$4, ROW(Rink2) - ROW(INDEX(Rink2,1,1))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74"/>
      <c r="H4" s="103">
        <v>10</v>
      </c>
      <c r="I4" s="57" t="str">
        <f t="array" ref="I4">IFERROR(INDEX(Teams, SMALL(IF(Rink2 = $H$4, ROW(Rink2) - ROW(INDEX(Rink2,1,1))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73"/>
    </row>
    <row r="5" spans="1:15" ht="24" customHeight="1" thickBot="1" x14ac:dyDescent="0.3">
      <c r="A5" s="100"/>
      <c r="B5" s="58" t="str">
        <f t="array" ref="B5">IFERROR(INDEX(Teams, SMALL(IF(Rink2 = $A$4, ROW(Rink2) - ROW(INDEX(Rink2,1,1))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74"/>
      <c r="H5" s="104"/>
      <c r="I5" s="58" t="str">
        <f t="array" ref="I5">IFERROR(INDEX(Teams, SMALL(IF(Rink2 = $H$4, ROW(Rink2) - ROW(INDEX(Rink2,1,1))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73"/>
    </row>
    <row r="6" spans="1:15" ht="24" customHeight="1" thickTop="1" x14ac:dyDescent="0.25">
      <c r="A6" s="97">
        <v>3</v>
      </c>
      <c r="B6" s="55" t="str">
        <f t="array" ref="B6">IFERROR(INDEX(Teams, SMALL(IF(Rink2 = $A$6, ROW(Rink2) - ROW(INDEX(Rink2,1,1))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74"/>
      <c r="H6" s="101">
        <v>11</v>
      </c>
      <c r="I6" s="55" t="str">
        <f t="array" ref="I6">IFERROR(INDEX(Teams, SMALL(IF(Rink2 = $H$6, ROW(Rink2) - ROW(INDEX(Rink2,1,1))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73"/>
    </row>
    <row r="7" spans="1:15" ht="24" customHeight="1" thickBot="1" x14ac:dyDescent="0.3">
      <c r="A7" s="98"/>
      <c r="B7" s="56" t="str">
        <f t="array" ref="B7">IFERROR(INDEX(Teams, SMALL(IF(Rink2 = $A$6, ROW(Rink2) - ROW(INDEX(Rink2,1,1))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74"/>
      <c r="H7" s="102"/>
      <c r="I7" s="56" t="str">
        <f t="array" ref="I7">IFERROR(INDEX(Teams, SMALL(IF(Rink2 = $H$6, ROW(Rink2) - ROW(INDEX(Rink2,1,1))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73"/>
    </row>
    <row r="8" spans="1:15" ht="24" customHeight="1" thickTop="1" x14ac:dyDescent="0.25">
      <c r="A8" s="99">
        <v>4</v>
      </c>
      <c r="B8" s="57" t="str">
        <f t="array" ref="B8">IFERROR(INDEX(Teams, SMALL(IF(Rink2 = $A$8, ROW(Rink2) - ROW(INDEX(Rink2,1,1))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74"/>
      <c r="H8" s="103">
        <v>12</v>
      </c>
      <c r="I8" s="57" t="str">
        <f t="array" ref="I8">IFERROR(INDEX(Teams, SMALL(IF(Rink2 = $H$8, ROW(Rink2) - ROW(INDEX(Rink2,1,1))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73"/>
    </row>
    <row r="9" spans="1:15" ht="24" customHeight="1" thickBot="1" x14ac:dyDescent="0.3">
      <c r="A9" s="100"/>
      <c r="B9" s="58" t="str">
        <f t="array" ref="B9">IFERROR(INDEX(Teams, SMALL(IF(Rink2 = $A$8, ROW(Rink2) - ROW(INDEX(Rink2,1,1))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74"/>
      <c r="H9" s="104"/>
      <c r="I9" s="58" t="str">
        <f t="array" ref="I9">IFERROR(INDEX(Teams, SMALL(IF(Rink2 = $H$8, ROW(Rink2) - ROW(INDEX(Rink2,1,1))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73"/>
    </row>
    <row r="10" spans="1:15" ht="24" customHeight="1" thickTop="1" x14ac:dyDescent="0.25">
      <c r="A10" s="97">
        <v>5</v>
      </c>
      <c r="B10" s="55" t="str">
        <f t="array" ref="B10">IFERROR(INDEX(Teams, SMALL(IF(Rink2 = $A$10, ROW(Rink2) - ROW(INDEX(Rink2,1,1))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74"/>
      <c r="H10" s="101">
        <v>13</v>
      </c>
      <c r="I10" s="55" t="str">
        <f t="array" ref="I10">IFERROR(INDEX(Teams, SMALL(IF(Rink2 = $H$10, ROW(Rink2) - ROW(INDEX(Rink2,1,1))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73"/>
    </row>
    <row r="11" spans="1:15" ht="24" customHeight="1" thickBot="1" x14ac:dyDescent="0.3">
      <c r="A11" s="98"/>
      <c r="B11" s="56" t="str">
        <f t="array" ref="B11">IFERROR(INDEX(Teams, SMALL(IF(Rink2 = $A$10, ROW(Rink2) - ROW(INDEX(Rink2,1,1))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74"/>
      <c r="H11" s="102"/>
      <c r="I11" s="56" t="str">
        <f t="array" ref="I11">IFERROR(INDEX(Teams, SMALL(IF(Rink2 = $H$10, ROW(Rink2) - ROW(INDEX(Rink2,1,1))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73"/>
    </row>
    <row r="12" spans="1:15" ht="24" customHeight="1" thickTop="1" x14ac:dyDescent="0.25">
      <c r="A12" s="99">
        <v>6</v>
      </c>
      <c r="B12" s="57" t="str">
        <f t="array" ref="B12">IFERROR(INDEX(Teams, SMALL(IF(Rink2 = $A$12, ROW(Rink2) - ROW(INDEX(Rink2,1,1))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74"/>
      <c r="H12" s="103">
        <v>14</v>
      </c>
      <c r="I12" s="57" t="str">
        <f t="array" ref="I12">IFERROR(INDEX(Teams, SMALL(IF(Rink2 = $H$12, ROW(Rink2) - ROW(INDEX(Rink2,1,1))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73"/>
    </row>
    <row r="13" spans="1:15" ht="24" customHeight="1" thickBot="1" x14ac:dyDescent="0.3">
      <c r="A13" s="100"/>
      <c r="B13" s="58" t="str">
        <f t="array" ref="B13">IFERROR(INDEX(Teams, SMALL(IF(Rink2 = $A$12, ROW(Rink2) - ROW(INDEX(Rink2,1,1))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74"/>
      <c r="H13" s="104"/>
      <c r="I13" s="58" t="str">
        <f t="array" ref="I13">IFERROR(INDEX(Teams, SMALL(IF(Rink2 = $H$12, ROW(Rink2) - ROW(INDEX(Rink2,1,1))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73"/>
    </row>
    <row r="14" spans="1:15" ht="24" customHeight="1" thickTop="1" x14ac:dyDescent="0.25">
      <c r="A14" s="97">
        <v>7</v>
      </c>
      <c r="B14" s="55" t="str">
        <f t="array" ref="B14">IFERROR(INDEX(Teams, SMALL(IF(Rink2 = $A$14, ROW(Rink2) - ROW(INDEX(Rink2,1,1))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74"/>
      <c r="H14" s="101">
        <v>15</v>
      </c>
      <c r="I14" s="55" t="str">
        <f t="array" ref="I14">IFERROR(INDEX(Teams, SMALL(IF(Rink2 = $H$14, ROW(Rink2) - ROW(INDEX(Rink2,1,1))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73"/>
    </row>
    <row r="15" spans="1:15" ht="24" customHeight="1" thickBot="1" x14ac:dyDescent="0.3">
      <c r="A15" s="98"/>
      <c r="B15" s="56" t="str">
        <f t="array" ref="B15">IFERROR(INDEX(Teams, SMALL(IF(Rink2 = $A$14, ROW(Rink2) - ROW(INDEX(Rink2,1,1))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74"/>
      <c r="H15" s="102"/>
      <c r="I15" s="56" t="str">
        <f t="array" ref="I15">IFERROR(INDEX(Teams, SMALL(IF(Rink2 = $H$14, ROW(Rink2) - ROW(INDEX(Rink2,1,1))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73"/>
    </row>
    <row r="16" spans="1:15" ht="24" customHeight="1" thickTop="1" x14ac:dyDescent="0.25">
      <c r="A16" s="99">
        <v>8</v>
      </c>
      <c r="B16" s="57" t="str">
        <f t="array" ref="B16">IFERROR(INDEX(Teams, SMALL(IF(Rink2 = $A$16, ROW(Rink2) - ROW(INDEX(Rink2,1,1))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74"/>
      <c r="H16" s="103">
        <v>16</v>
      </c>
      <c r="I16" s="57" t="str">
        <f t="array" ref="I16">IFERROR(INDEX(Teams, SMALL(IF(Rink2 = $H$16, ROW(Rink2) - ROW(INDEX(Rink2,1,1))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SMALL(IF(Rink2 = $A$16, ROW(Rink2) - ROW(INDEX(Rink2,1,1))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74"/>
      <c r="H17" s="104"/>
      <c r="I17" s="58" t="str">
        <f t="array" ref="I17">IFERROR(INDEX(Teams, SMALL(IF(Rink2 = $H$16, ROW(Rink2) - ROW(INDEX(Rink2,1,1))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8"/>
  <sheetViews>
    <sheetView showGridLines="0" showRowColHeaders="0" workbookViewId="0">
      <selection activeCell="I15" sqref="I15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</cols>
  <sheetData>
    <row r="1" spans="1:14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4" ht="24" customHeight="1" thickTop="1" x14ac:dyDescent="0.25">
      <c r="A2" s="97">
        <v>1</v>
      </c>
      <c r="B2" s="55" t="str">
        <f t="array" ref="B2">IFERROR(INDEX(Teams, SMALL(IF(Rink3 = $A$2, ROW(Rink3) - ROW(INDEX(Rink3,1,1))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51" t="str">
        <f t="array" ref="F2">IFERROR(INDEX(Against, MATCH(B2, Teams, 0)),"")</f>
        <v/>
      </c>
      <c r="G2" s="74"/>
      <c r="H2" s="97">
        <v>9</v>
      </c>
      <c r="I2" s="55" t="str">
        <f t="array" ref="I2">IFERROR(INDEX(Teams, SMALL(IF(Rink3 = $H$2, ROW(Rink3) - ROW(INDEX(Rink3,1,1))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  <c r="N2" s="73"/>
    </row>
    <row r="3" spans="1:14" ht="24" customHeight="1" thickBot="1" x14ac:dyDescent="0.3">
      <c r="A3" s="98"/>
      <c r="B3" s="56" t="str">
        <f t="array" ref="B3">IFERROR(INDEX(Teams, SMALL(IF(Rink3 = $A$2, ROW(Rink3) - ROW(INDEX(Rink3,1,1))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52" t="str">
        <f t="array" ref="F3">IFERROR(INDEX(Against, MATCH(B3, Teams, 0)),"")</f>
        <v/>
      </c>
      <c r="G3" s="74"/>
      <c r="H3" s="98"/>
      <c r="I3" s="56" t="str">
        <f t="array" ref="I3">IFERROR(INDEX(Teams, SMALL(IF(Rink3 = $H$2, ROW(Rink3) - ROW(INDEX(Rink3,1,1))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  <c r="N3" s="73"/>
    </row>
    <row r="4" spans="1:14" ht="24" customHeight="1" thickTop="1" x14ac:dyDescent="0.25">
      <c r="A4" s="99">
        <v>2</v>
      </c>
      <c r="B4" s="57" t="str">
        <f t="array" ref="B4">IFERROR(INDEX(Teams, SMALL(IF(Rink3 = $A$4, ROW(Rink3) - ROW(INDEX(Rink3,1,1))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53" t="str">
        <f t="array" ref="F4">IFERROR(INDEX(Against, MATCH(B4, Teams, 0)),"")</f>
        <v/>
      </c>
      <c r="G4" s="74"/>
      <c r="H4" s="99">
        <v>10</v>
      </c>
      <c r="I4" s="57" t="str">
        <f t="array" ref="I4">IFERROR(INDEX(Teams, SMALL(IF(Rink3 = $H$4, ROW(Rink3) - ROW(INDEX(Rink3,1,1))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  <c r="N4" s="73"/>
    </row>
    <row r="5" spans="1:14" ht="24" customHeight="1" thickBot="1" x14ac:dyDescent="0.3">
      <c r="A5" s="100"/>
      <c r="B5" s="58" t="str">
        <f t="array" ref="B5">IFERROR(INDEX(Teams, SMALL(IF(Rink3 = $A$4, ROW(Rink3) - ROW(INDEX(Rink3,1,1))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5" t="str">
        <f t="array" ref="F5">IFERROR(INDEX(Against, MATCH(B5, Teams, 0)),"")</f>
        <v/>
      </c>
      <c r="G5" s="74"/>
      <c r="H5" s="100"/>
      <c r="I5" s="58" t="str">
        <f t="array" ref="I5">IFERROR(INDEX(Teams, SMALL(IF(Rink3 = $H$4, ROW(Rink3) - ROW(INDEX(Rink3,1,1))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  <c r="N5" s="73"/>
    </row>
    <row r="6" spans="1:14" ht="24" customHeight="1" thickTop="1" x14ac:dyDescent="0.25">
      <c r="A6" s="97">
        <v>3</v>
      </c>
      <c r="B6" s="55" t="str">
        <f t="array" ref="B6">IFERROR(INDEX(Teams, SMALL(IF(Rink3 = $A$6, ROW(Rink3) - ROW(INDEX(Rink3,1,1))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51" t="str">
        <f t="array" ref="F6">IFERROR(INDEX(Against, MATCH(B6, Teams, 0)),"")</f>
        <v/>
      </c>
      <c r="G6" s="74"/>
      <c r="H6" s="97">
        <v>11</v>
      </c>
      <c r="I6" s="55" t="str">
        <f t="array" ref="I6">IFERROR(INDEX(Teams, SMALL(IF(Rink3 = $H$6, ROW(Rink3) - ROW(INDEX(Rink3,1,1))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  <c r="N6" s="73"/>
    </row>
    <row r="7" spans="1:14" ht="24" customHeight="1" thickBot="1" x14ac:dyDescent="0.3">
      <c r="A7" s="98"/>
      <c r="B7" s="56" t="str">
        <f t="array" ref="B7">IFERROR(INDEX(Teams, SMALL(IF(Rink3 = $A$6, ROW(Rink3) - ROW(INDEX(Rink3,1,1))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52" t="str">
        <f t="array" ref="F7">IFERROR(INDEX(Against, MATCH(B7, Teams, 0)),"")</f>
        <v/>
      </c>
      <c r="G7" s="74"/>
      <c r="H7" s="98"/>
      <c r="I7" s="56" t="str">
        <f t="array" ref="I7">IFERROR(INDEX(Teams, SMALL(IF(Rink3 = $H$6, ROW(Rink3) - ROW(INDEX(Rink3,1,1))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  <c r="N7" s="73"/>
    </row>
    <row r="8" spans="1:14" ht="24" customHeight="1" thickTop="1" x14ac:dyDescent="0.25">
      <c r="A8" s="99">
        <v>4</v>
      </c>
      <c r="B8" s="57" t="str">
        <f t="array" ref="B8">IFERROR(INDEX(Teams, SMALL(IF(Rink3 = $A$8, ROW(Rink3) - ROW(INDEX(Rink3,1,1))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53" t="str">
        <f t="array" ref="F8">IFERROR(INDEX(Against, MATCH(B8, Teams, 0)),"")</f>
        <v/>
      </c>
      <c r="G8" s="74"/>
      <c r="H8" s="99">
        <v>12</v>
      </c>
      <c r="I8" s="57" t="str">
        <f t="array" ref="I8">IFERROR(INDEX(Teams, SMALL(IF(Rink3 = $H$8, ROW(Rink3) - ROW(INDEX(Rink3,1,1))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  <c r="N8" s="73"/>
    </row>
    <row r="9" spans="1:14" ht="24" customHeight="1" thickBot="1" x14ac:dyDescent="0.3">
      <c r="A9" s="100"/>
      <c r="B9" s="58" t="str">
        <f t="array" ref="B9">IFERROR(INDEX(Teams, SMALL(IF(Rink3 = $A$8, ROW(Rink3) - ROW(INDEX(Rink3,1,1))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5" t="str">
        <f t="array" ref="F9">IFERROR(INDEX(Against, MATCH(B9, Teams, 0)),"")</f>
        <v/>
      </c>
      <c r="G9" s="74"/>
      <c r="H9" s="100"/>
      <c r="I9" s="58" t="str">
        <f t="array" ref="I9">IFERROR(INDEX(Teams, SMALL(IF(Rink3 = $H$8, ROW(Rink3) - ROW(INDEX(Rink3,1,1))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  <c r="N9" s="73"/>
    </row>
    <row r="10" spans="1:14" ht="24" customHeight="1" thickTop="1" x14ac:dyDescent="0.25">
      <c r="A10" s="97">
        <v>5</v>
      </c>
      <c r="B10" s="55" t="str">
        <f t="array" ref="B10">IFERROR(INDEX(Teams, SMALL(IF(Rink3 = $A$10, ROW(Rink3) - ROW(INDEX(Rink3,1,1))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51" t="str">
        <f t="array" ref="F10">IFERROR(INDEX(Against, MATCH(B10, Teams, 0)),"")</f>
        <v/>
      </c>
      <c r="G10" s="74"/>
      <c r="H10" s="97">
        <v>13</v>
      </c>
      <c r="I10" s="55" t="str">
        <f t="array" ref="I10">IFERROR(INDEX(Teams, SMALL(IF(Rink3 = $H$10, ROW(Rink3) - ROW(INDEX(Rink3,1,1))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  <c r="N10" s="73"/>
    </row>
    <row r="11" spans="1:14" ht="24" customHeight="1" thickBot="1" x14ac:dyDescent="0.3">
      <c r="A11" s="98"/>
      <c r="B11" s="56" t="str">
        <f t="array" ref="B11">IFERROR(INDEX(Teams, SMALL(IF(Rink3 = $A$10, ROW(Rink3) - ROW(INDEX(Rink3,1,1))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52" t="str">
        <f t="array" ref="F11">IFERROR(INDEX(Against, MATCH(B11, Teams, 0)),"")</f>
        <v/>
      </c>
      <c r="G11" s="74"/>
      <c r="H11" s="98"/>
      <c r="I11" s="56" t="str">
        <f t="array" ref="I11">IFERROR(INDEX(Teams, SMALL(IF(Rink3 = $H$10, ROW(Rink3) - ROW(INDEX(Rink3,1,1))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  <c r="N11" s="73"/>
    </row>
    <row r="12" spans="1:14" ht="24" customHeight="1" thickTop="1" x14ac:dyDescent="0.25">
      <c r="A12" s="99">
        <v>6</v>
      </c>
      <c r="B12" s="57" t="str">
        <f t="array" ref="B12">IFERROR(INDEX(Teams, SMALL(IF(Rink3 = $A$12, ROW(Rink3) - ROW(INDEX(Rink3,1,1))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53" t="str">
        <f t="array" ref="F12">IFERROR(INDEX(Against, MATCH(B12, Teams, 0)),"")</f>
        <v/>
      </c>
      <c r="G12" s="74"/>
      <c r="H12" s="99">
        <v>14</v>
      </c>
      <c r="I12" s="57" t="str">
        <f t="array" ref="I12">IFERROR(INDEX(Teams, SMALL(IF(Rink3 = $H$12, ROW(Rink3) - ROW(INDEX(Rink3,1,1))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  <c r="N12" s="73"/>
    </row>
    <row r="13" spans="1:14" ht="24" customHeight="1" thickBot="1" x14ac:dyDescent="0.3">
      <c r="A13" s="100"/>
      <c r="B13" s="58" t="str">
        <f t="array" ref="B13">IFERROR(INDEX(Teams, SMALL(IF(Rink3 = $A$12, ROW(Rink3) - ROW(INDEX(Rink3,1,1))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5" t="str">
        <f t="array" ref="F13">IFERROR(INDEX(Against, MATCH(B13, Teams, 0)),"")</f>
        <v/>
      </c>
      <c r="G13" s="74"/>
      <c r="H13" s="100"/>
      <c r="I13" s="58" t="str">
        <f t="array" ref="I13">IFERROR(INDEX(Teams, SMALL(IF(Rink3 = $H$12, ROW(Rink3) - ROW(INDEX(Rink3,1,1))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  <c r="N13" s="73"/>
    </row>
    <row r="14" spans="1:14" ht="24" customHeight="1" thickTop="1" x14ac:dyDescent="0.25">
      <c r="A14" s="97">
        <v>7</v>
      </c>
      <c r="B14" s="55" t="str">
        <f t="array" ref="B14">IFERROR(INDEX(Teams, SMALL(IF(Rink3 = $A$14, ROW(Rink3) - ROW(INDEX(Rink3,1,1))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51" t="str">
        <f t="array" ref="F14">IFERROR(INDEX(Against, MATCH(B14, Teams, 0)),"")</f>
        <v/>
      </c>
      <c r="G14" s="74"/>
      <c r="H14" s="97">
        <v>15</v>
      </c>
      <c r="I14" s="55" t="str">
        <f t="array" ref="I14">IFERROR(INDEX(Teams, SMALL(IF(Rink3 = $H$14, ROW(Rink3) - ROW(INDEX(Rink3,1,1))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  <c r="N14" s="73"/>
    </row>
    <row r="15" spans="1:14" ht="24" customHeight="1" thickBot="1" x14ac:dyDescent="0.3">
      <c r="A15" s="98"/>
      <c r="B15" s="56" t="str">
        <f t="array" ref="B15">IFERROR(INDEX(Teams, SMALL(IF(Rink3 = $A$14, ROW(Rink3) - ROW(INDEX(Rink3,1,1))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52" t="str">
        <f t="array" ref="F15">IFERROR(INDEX(Against, MATCH(B15, Teams, 0)),"")</f>
        <v/>
      </c>
      <c r="G15" s="74"/>
      <c r="H15" s="98"/>
      <c r="I15" s="56" t="str">
        <f t="array" ref="I15">IFERROR(INDEX(Teams, SMALL(IF(Rink3 = $H$14, ROW(Rink3) - ROW(INDEX(Rink3,1,1))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  <c r="N15" s="73"/>
    </row>
    <row r="16" spans="1:14" ht="24" customHeight="1" thickTop="1" x14ac:dyDescent="0.25">
      <c r="A16" s="99">
        <v>8</v>
      </c>
      <c r="B16" s="57" t="str">
        <f t="array" ref="B16">IFERROR(INDEX(Teams, SMALL(IF(Rink3 = $A$16, ROW(Rink3) - ROW(INDEX(Rink3,1,1))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53" t="str">
        <f t="array" ref="F16">IFERROR(INDEX(Against, MATCH(B16, Teams, 0)),"")</f>
        <v/>
      </c>
      <c r="G16" s="74"/>
      <c r="H16" s="99">
        <v>16</v>
      </c>
      <c r="I16" s="57" t="str">
        <f t="array" ref="I16">IFERROR(INDEX(Teams, SMALL(IF(Rink3 = $H$16, ROW(Rink3) - ROW(INDEX(Rink3,1,1))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  <c r="N16" s="73"/>
    </row>
    <row r="17" spans="1:14" ht="24" customHeight="1" thickBot="1" x14ac:dyDescent="0.3">
      <c r="A17" s="100"/>
      <c r="B17" s="58" t="str">
        <f t="array" ref="B17">IFERROR(INDEX(Teams, SMALL(IF(Rink3 = $A$16, ROW(Rink3) - ROW(INDEX(Rink3,1,1))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54" t="str">
        <f t="array" ref="F17">IFERROR(INDEX(Against, MATCH(B17, Teams, 0)),"")</f>
        <v/>
      </c>
      <c r="G17" s="74"/>
      <c r="H17" s="100"/>
      <c r="I17" s="58" t="str">
        <f t="array" ref="I17">IFERROR(INDEX(Teams, SMALL(IF(Rink3 = $H$16, ROW(Rink3) - ROW(INDEX(Rink3,1,1))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  <c r="N17" s="73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Wins-For-Plus-Against</vt:lpstr>
      <vt:lpstr>Game 1 Draw</vt:lpstr>
      <vt:lpstr>Game 2 Draw</vt:lpstr>
      <vt:lpstr>Game 3 Draw</vt:lpstr>
      <vt:lpstr>Against</vt:lpstr>
      <vt:lpstr>For</vt:lpstr>
      <vt:lpstr>Plus</vt:lpstr>
      <vt:lpstr>Rink1</vt:lpstr>
      <vt:lpstr>Rink2</vt:lpstr>
      <vt:lpstr>Rink3</vt:lpstr>
      <vt:lpstr>Teams</vt:lpstr>
      <vt:lpstr>Wins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Angela</cp:lastModifiedBy>
  <cp:lastPrinted>2017-07-28T13:56:28Z</cp:lastPrinted>
  <dcterms:created xsi:type="dcterms:W3CDTF">2016-08-13T21:11:38Z</dcterms:created>
  <dcterms:modified xsi:type="dcterms:W3CDTF">2019-06-21T16:26:16Z</dcterms:modified>
</cp:coreProperties>
</file>