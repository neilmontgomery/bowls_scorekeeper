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040" windowHeight="9120" activeTab="1"/>
  </bookViews>
  <sheets>
    <sheet name="Instructions" sheetId="2" r:id="rId1"/>
    <sheet name="Wins-For-Plus-Against" sheetId="1" r:id="rId2"/>
    <sheet name="Game 1 Draw" sheetId="3" r:id="rId3"/>
    <sheet name="Game 2 Draw" sheetId="4" r:id="rId4"/>
    <sheet name="Game 3 Draw" sheetId="5" r:id="rId5"/>
  </sheets>
  <definedNames>
    <definedName name="Against">'Wins-For-Plus-Against'!$F$3:$F$34</definedName>
    <definedName name="For">'Wins-For-Plus-Against'!$D$3:$D$34</definedName>
    <definedName name="Plus">'Wins-For-Plus-Against'!$E$3:$E$34</definedName>
    <definedName name="Rink1">'Wins-For-Plus-Against'!$G$3:$G$34</definedName>
    <definedName name="Rink2">'Wins-For-Plus-Against'!$L$3:$L$34</definedName>
    <definedName name="Rink3">'Wins-For-Plus-Against'!$Q$3:$Q$34</definedName>
    <definedName name="Teams">'Wins-For-Plus-Against'!$A$3:$A$34</definedName>
    <definedName name="Wins">'Wins-For-Plus-Against'!$C$3:$C$34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1" l="1"/>
  <c r="K12" i="1"/>
  <c r="K7" i="1"/>
  <c r="K8" i="1"/>
  <c r="K5" i="1"/>
  <c r="K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6" i="1"/>
  <c r="P5" i="1"/>
  <c r="W3" i="1"/>
  <c r="X3" i="1"/>
  <c r="AA3" i="1"/>
  <c r="AB3" i="1"/>
  <c r="AC3" i="1"/>
  <c r="AD3" i="1"/>
  <c r="P8" i="1"/>
  <c r="W4" i="1"/>
  <c r="X4" i="1"/>
  <c r="P7" i="1"/>
  <c r="W5" i="1"/>
  <c r="X5" i="1"/>
  <c r="AA5" i="1"/>
  <c r="AB5" i="1"/>
  <c r="AC5" i="1"/>
  <c r="AD5" i="1"/>
  <c r="P12" i="1"/>
  <c r="W6" i="1"/>
  <c r="X6" i="1"/>
  <c r="Z5" i="1" l="1"/>
  <c r="Z6" i="1" s="1"/>
  <c r="Z3" i="1"/>
  <c r="Z4" i="1" s="1"/>
  <c r="I17" i="5" l="1" a="1"/>
  <c r="I17" i="5" s="1"/>
  <c r="L17" i="5" s="1" a="1"/>
  <c r="L17" i="5" s="1"/>
  <c r="I16" i="5" a="1"/>
  <c r="I16" i="5" s="1"/>
  <c r="J16" i="5" s="1" a="1"/>
  <c r="J16" i="5" s="1"/>
  <c r="I15" i="5" a="1"/>
  <c r="I15" i="5" s="1"/>
  <c r="M15" i="5" s="1" a="1"/>
  <c r="M15" i="5" s="1"/>
  <c r="I14" i="5" a="1"/>
  <c r="I14" i="5" s="1"/>
  <c r="L14" i="5" s="1" a="1"/>
  <c r="L14" i="5" s="1"/>
  <c r="I13" i="5" a="1"/>
  <c r="I13" i="5" s="1"/>
  <c r="M13" i="5" s="1" a="1"/>
  <c r="M13" i="5" s="1"/>
  <c r="I12" i="5" a="1"/>
  <c r="I12" i="5" s="1"/>
  <c r="M12" i="5" s="1" a="1"/>
  <c r="M12" i="5" s="1"/>
  <c r="I11" i="5" a="1"/>
  <c r="I11" i="5" s="1"/>
  <c r="K11" i="5" s="1" a="1"/>
  <c r="K11" i="5" s="1"/>
  <c r="I10" i="5" a="1"/>
  <c r="I10" i="5" s="1"/>
  <c r="L10" i="5" s="1" a="1"/>
  <c r="L10" i="5" s="1"/>
  <c r="I9" i="5" a="1"/>
  <c r="I9" i="5" s="1"/>
  <c r="L9" i="5" s="1" a="1"/>
  <c r="L9" i="5" s="1"/>
  <c r="I8" i="5" a="1"/>
  <c r="I8" i="5" s="1"/>
  <c r="J8" i="5" s="1" a="1"/>
  <c r="J8" i="5" s="1"/>
  <c r="I7" i="5" a="1"/>
  <c r="I7" i="5" s="1"/>
  <c r="M7" i="5" s="1" a="1"/>
  <c r="M7" i="5" s="1"/>
  <c r="I6" i="5" a="1"/>
  <c r="I6" i="5" s="1"/>
  <c r="L6" i="5" s="1" a="1"/>
  <c r="L6" i="5" s="1"/>
  <c r="I5" i="5" a="1"/>
  <c r="I5" i="5" s="1"/>
  <c r="M5" i="5" s="1" a="1"/>
  <c r="M5" i="5" s="1"/>
  <c r="I4" i="5" a="1"/>
  <c r="I4" i="5" s="1"/>
  <c r="M4" i="5" s="1" a="1"/>
  <c r="M4" i="5" s="1"/>
  <c r="I3" i="5" a="1"/>
  <c r="I3" i="5" s="1"/>
  <c r="K3" i="5" s="1" a="1"/>
  <c r="K3" i="5" s="1"/>
  <c r="I2" i="5" a="1"/>
  <c r="I2" i="5" s="1"/>
  <c r="K2" i="5" s="1" a="1"/>
  <c r="K2" i="5" s="1"/>
  <c r="B17" i="5" a="1"/>
  <c r="B17" i="5" s="1"/>
  <c r="B16" i="5" a="1"/>
  <c r="B16" i="5" s="1"/>
  <c r="B15" i="5" a="1"/>
  <c r="B15" i="5" s="1"/>
  <c r="E15" i="5" s="1" a="1"/>
  <c r="E15" i="5" s="1"/>
  <c r="B14" i="5" a="1"/>
  <c r="B14" i="5" s="1"/>
  <c r="E14" i="5" s="1" a="1"/>
  <c r="E14" i="5" s="1"/>
  <c r="B13" i="5" a="1"/>
  <c r="B13" i="5" s="1"/>
  <c r="B12" i="5" a="1"/>
  <c r="B12" i="5" s="1"/>
  <c r="B11" i="5" a="1"/>
  <c r="B11" i="5" s="1"/>
  <c r="E11" i="5" s="1" a="1"/>
  <c r="E11" i="5" s="1"/>
  <c r="B10" i="5" a="1"/>
  <c r="B10" i="5" s="1"/>
  <c r="E10" i="5" s="1" a="1"/>
  <c r="E10" i="5" s="1"/>
  <c r="B9" i="5" a="1"/>
  <c r="B9" i="5" s="1"/>
  <c r="B8" i="5" a="1"/>
  <c r="B8" i="5" s="1"/>
  <c r="B7" i="5" a="1"/>
  <c r="B7" i="5" s="1"/>
  <c r="B6" i="5" a="1"/>
  <c r="B6" i="5" s="1"/>
  <c r="B5" i="5" a="1"/>
  <c r="B5" i="5" s="1"/>
  <c r="E5" i="5" s="1" a="1"/>
  <c r="E5" i="5" s="1"/>
  <c r="B4" i="5" a="1"/>
  <c r="B4" i="5" s="1"/>
  <c r="F4" i="5" s="1" a="1"/>
  <c r="F4" i="5" s="1"/>
  <c r="B3" i="5" a="1"/>
  <c r="B3" i="5" s="1"/>
  <c r="E3" i="5" s="1" a="1"/>
  <c r="E3" i="5" s="1"/>
  <c r="B2" i="5" a="1"/>
  <c r="B2" i="5" s="1"/>
  <c r="F2" i="5" s="1" a="1"/>
  <c r="F2" i="5" s="1"/>
  <c r="I17" i="4" a="1"/>
  <c r="I17" i="4" s="1"/>
  <c r="J17" i="4" s="1" a="1"/>
  <c r="J17" i="4" s="1"/>
  <c r="I16" i="4" a="1"/>
  <c r="I16" i="4" s="1"/>
  <c r="L16" i="4" s="1" a="1"/>
  <c r="L16" i="4" s="1"/>
  <c r="I15" i="4" a="1"/>
  <c r="I15" i="4" s="1"/>
  <c r="L15" i="4" s="1" a="1"/>
  <c r="L15" i="4" s="1"/>
  <c r="I14" i="4" a="1"/>
  <c r="I14" i="4" s="1"/>
  <c r="L14" i="4" s="1" a="1"/>
  <c r="L14" i="4" s="1"/>
  <c r="I13" i="4" a="1"/>
  <c r="I13" i="4" s="1"/>
  <c r="M13" i="4" s="1" a="1"/>
  <c r="M13" i="4" s="1"/>
  <c r="I12" i="4" a="1"/>
  <c r="I12" i="4" s="1"/>
  <c r="K12" i="4" s="1" a="1"/>
  <c r="K12" i="4" s="1"/>
  <c r="I11" i="4" a="1"/>
  <c r="I11" i="4" s="1"/>
  <c r="M11" i="4" s="1" a="1"/>
  <c r="M11" i="4" s="1"/>
  <c r="I10" i="4" a="1"/>
  <c r="I10" i="4" s="1"/>
  <c r="J10" i="4" s="1" a="1"/>
  <c r="J10" i="4" s="1"/>
  <c r="I9" i="4" a="1"/>
  <c r="I9" i="4" s="1"/>
  <c r="I8" i="4" a="1"/>
  <c r="I8" i="4" s="1"/>
  <c r="I7" i="4" a="1"/>
  <c r="I7" i="4" s="1"/>
  <c r="L7" i="4" s="1" a="1"/>
  <c r="L7" i="4" s="1"/>
  <c r="I6" i="4" a="1"/>
  <c r="I6" i="4" s="1"/>
  <c r="M6" i="4" s="1" a="1"/>
  <c r="M6" i="4" s="1"/>
  <c r="I5" i="4" a="1"/>
  <c r="I5" i="4" s="1"/>
  <c r="M5" i="4" s="1" a="1"/>
  <c r="M5" i="4" s="1"/>
  <c r="I4" i="4" a="1"/>
  <c r="I4" i="4" s="1"/>
  <c r="K4" i="4" s="1" a="1"/>
  <c r="K4" i="4" s="1"/>
  <c r="I3" i="4" a="1"/>
  <c r="I3" i="4" s="1"/>
  <c r="M3" i="4" s="1" a="1"/>
  <c r="M3" i="4" s="1"/>
  <c r="I2" i="4" a="1"/>
  <c r="I2" i="4" s="1"/>
  <c r="J2" i="4" s="1" a="1"/>
  <c r="J2" i="4" s="1"/>
  <c r="B17" i="4" a="1"/>
  <c r="B17" i="4" s="1"/>
  <c r="F17" i="4" s="1" a="1"/>
  <c r="F17" i="4" s="1"/>
  <c r="B16" i="4" a="1"/>
  <c r="B16" i="4" s="1"/>
  <c r="F16" i="4" s="1" a="1"/>
  <c r="F16" i="4" s="1"/>
  <c r="B15" i="4" a="1"/>
  <c r="B15" i="4" s="1"/>
  <c r="B14" i="4" a="1"/>
  <c r="B14" i="4" s="1"/>
  <c r="B13" i="4" a="1"/>
  <c r="B13" i="4" s="1"/>
  <c r="C13" i="4" s="1" a="1"/>
  <c r="C13" i="4" s="1"/>
  <c r="B12" i="4" a="1"/>
  <c r="B12" i="4" s="1"/>
  <c r="F12" i="4" s="1" a="1"/>
  <c r="F12" i="4" s="1"/>
  <c r="B11" i="4" a="1"/>
  <c r="B11" i="4" s="1"/>
  <c r="B10" i="4" a="1"/>
  <c r="B10" i="4" s="1"/>
  <c r="B9" i="4" a="1"/>
  <c r="B9" i="4" s="1"/>
  <c r="B8" i="4" a="1"/>
  <c r="B8" i="4" s="1"/>
  <c r="B7" i="4" a="1"/>
  <c r="B7" i="4" s="1"/>
  <c r="B6" i="4" a="1"/>
  <c r="B6" i="4" s="1"/>
  <c r="B5" i="4" a="1"/>
  <c r="B5" i="4" s="1"/>
  <c r="B4" i="4" a="1"/>
  <c r="B4" i="4" s="1"/>
  <c r="B3" i="4" a="1"/>
  <c r="B3" i="4" s="1"/>
  <c r="E3" i="4" s="1" a="1"/>
  <c r="E3" i="4" s="1"/>
  <c r="B2" i="4" a="1"/>
  <c r="B2" i="4" s="1"/>
  <c r="I17" i="3" a="1"/>
  <c r="I17" i="3" s="1"/>
  <c r="M17" i="3" s="1" a="1"/>
  <c r="M17" i="3" s="1"/>
  <c r="I16" i="3" a="1"/>
  <c r="I16" i="3" s="1"/>
  <c r="K16" i="3" s="1" a="1"/>
  <c r="K16" i="3" s="1"/>
  <c r="I15" i="3" a="1"/>
  <c r="I15" i="3" s="1"/>
  <c r="M15" i="3" s="1" a="1"/>
  <c r="M15" i="3" s="1"/>
  <c r="I14" i="3" a="1"/>
  <c r="I14" i="3" s="1"/>
  <c r="L14" i="3" s="1" a="1"/>
  <c r="L14" i="3" s="1"/>
  <c r="I13" i="3" a="1"/>
  <c r="I13" i="3" s="1"/>
  <c r="J13" i="3" s="1" a="1"/>
  <c r="J13" i="3" s="1"/>
  <c r="I12" i="3" a="1"/>
  <c r="I12" i="3" s="1"/>
  <c r="J12" i="3" s="1" a="1"/>
  <c r="J12" i="3" s="1"/>
  <c r="I11" i="3" a="1"/>
  <c r="I11" i="3" s="1"/>
  <c r="K11" i="3" s="1" a="1"/>
  <c r="K11" i="3" s="1"/>
  <c r="I10" i="3" a="1"/>
  <c r="I10" i="3" s="1"/>
  <c r="M10" i="3" s="1" a="1"/>
  <c r="M10" i="3" s="1"/>
  <c r="I9" i="3" a="1"/>
  <c r="I9" i="3" s="1"/>
  <c r="M9" i="3" s="1" a="1"/>
  <c r="M9" i="3" s="1"/>
  <c r="I8" i="3" a="1"/>
  <c r="I8" i="3" s="1"/>
  <c r="K8" i="3" s="1" a="1"/>
  <c r="K8" i="3" s="1"/>
  <c r="I7" i="3" a="1"/>
  <c r="I7" i="3" s="1"/>
  <c r="M7" i="3" s="1" a="1"/>
  <c r="M7" i="3" s="1"/>
  <c r="I6" i="3" a="1"/>
  <c r="I6" i="3" s="1"/>
  <c r="L6" i="3" s="1" a="1"/>
  <c r="L6" i="3" s="1"/>
  <c r="I5" i="3" a="1"/>
  <c r="I5" i="3" s="1"/>
  <c r="J5" i="3" s="1" a="1"/>
  <c r="J5" i="3" s="1"/>
  <c r="I4" i="3" a="1"/>
  <c r="I4" i="3" s="1"/>
  <c r="M4" i="3" s="1" a="1"/>
  <c r="M4" i="3" s="1"/>
  <c r="I3" i="3" a="1"/>
  <c r="I3" i="3" s="1"/>
  <c r="K3" i="3" s="1" a="1"/>
  <c r="K3" i="3" s="1"/>
  <c r="I2" i="3" a="1"/>
  <c r="I2" i="3" s="1"/>
  <c r="M2" i="3" s="1" a="1"/>
  <c r="M2" i="3" s="1"/>
  <c r="B17" i="3" a="1"/>
  <c r="B17" i="3" s="1"/>
  <c r="F17" i="3" s="1" a="1"/>
  <c r="F17" i="3" s="1"/>
  <c r="B16" i="3" a="1"/>
  <c r="B16" i="3" s="1"/>
  <c r="F16" i="3" s="1" a="1"/>
  <c r="F16" i="3" s="1"/>
  <c r="B15" i="3" a="1"/>
  <c r="B15" i="3" s="1"/>
  <c r="C15" i="3" s="1" a="1"/>
  <c r="C15" i="3" s="1"/>
  <c r="B14" i="3" a="1"/>
  <c r="B14" i="3" s="1"/>
  <c r="D14" i="3" s="1" a="1"/>
  <c r="D14" i="3" s="1"/>
  <c r="B13" i="3" a="1"/>
  <c r="B13" i="3" s="1"/>
  <c r="F13" i="3" s="1" a="1"/>
  <c r="F13" i="3" s="1"/>
  <c r="B12" i="3" a="1"/>
  <c r="B12" i="3" s="1"/>
  <c r="F12" i="3" s="1" a="1"/>
  <c r="F12" i="3" s="1"/>
  <c r="B11" i="3" a="1"/>
  <c r="B11" i="3" s="1"/>
  <c r="B9" i="3" a="1"/>
  <c r="B9" i="3" s="1"/>
  <c r="B8" i="3" a="1"/>
  <c r="B8" i="3" s="1"/>
  <c r="B7" i="3" a="1"/>
  <c r="B7" i="3" s="1"/>
  <c r="B6" i="3" a="1"/>
  <c r="B6" i="3" s="1"/>
  <c r="B5" i="3" a="1"/>
  <c r="B5" i="3" s="1"/>
  <c r="B4" i="3" a="1"/>
  <c r="B4" i="3" s="1"/>
  <c r="B10" i="3" a="1"/>
  <c r="B10" i="3" s="1"/>
  <c r="B3" i="3" a="1"/>
  <c r="B3" i="3" s="1"/>
  <c r="B2" i="3" a="1"/>
  <c r="B2" i="3" s="1"/>
  <c r="L8" i="5" l="1" a="1"/>
  <c r="L8" i="5" s="1"/>
  <c r="L11" i="5" a="1"/>
  <c r="L11" i="5" s="1"/>
  <c r="C14" i="5" a="1"/>
  <c r="C14" i="5" s="1"/>
  <c r="L13" i="5" a="1"/>
  <c r="L13" i="5" s="1"/>
  <c r="F14" i="5" a="1"/>
  <c r="F14" i="5" s="1"/>
  <c r="C4" i="5" a="1"/>
  <c r="C4" i="5" s="1"/>
  <c r="J5" i="5" a="1"/>
  <c r="J5" i="5" s="1"/>
  <c r="D14" i="5" a="1"/>
  <c r="D14" i="5" s="1"/>
  <c r="K5" i="5" a="1"/>
  <c r="K5" i="5" s="1"/>
  <c r="J13" i="5" a="1"/>
  <c r="J13" i="5" s="1"/>
  <c r="L5" i="5" a="1"/>
  <c r="L5" i="5" s="1"/>
  <c r="L16" i="5" a="1"/>
  <c r="L16" i="5" s="1"/>
  <c r="L8" i="3" a="1"/>
  <c r="L8" i="3" s="1"/>
  <c r="F3" i="5" a="1"/>
  <c r="F3" i="5" s="1"/>
  <c r="M6" i="5" a="1"/>
  <c r="M6" i="5" s="1"/>
  <c r="K13" i="5" a="1"/>
  <c r="K13" i="5" s="1"/>
  <c r="M8" i="3" a="1"/>
  <c r="M8" i="3" s="1"/>
  <c r="L7" i="3" a="1"/>
  <c r="L7" i="3" s="1"/>
  <c r="D15" i="3" a="1"/>
  <c r="D15" i="3" s="1"/>
  <c r="D4" i="5" a="1"/>
  <c r="D4" i="5" s="1"/>
  <c r="F11" i="5" a="1"/>
  <c r="F11" i="5" s="1"/>
  <c r="F15" i="5" a="1"/>
  <c r="F15" i="5" s="1"/>
  <c r="K7" i="5" a="1"/>
  <c r="K7" i="5" s="1"/>
  <c r="M14" i="5" a="1"/>
  <c r="M14" i="5" s="1"/>
  <c r="M4" i="4" a="1"/>
  <c r="M4" i="4" s="1"/>
  <c r="E15" i="3" a="1"/>
  <c r="E15" i="3" s="1"/>
  <c r="M14" i="3" a="1"/>
  <c r="M14" i="3" s="1"/>
  <c r="J7" i="5" a="1"/>
  <c r="J7" i="5" s="1"/>
  <c r="J3" i="4" a="1"/>
  <c r="J3" i="4" s="1"/>
  <c r="J9" i="3" a="1"/>
  <c r="J9" i="3" s="1"/>
  <c r="F5" i="5" a="1"/>
  <c r="F5" i="5" s="1"/>
  <c r="L7" i="5" a="1"/>
  <c r="L7" i="5" s="1"/>
  <c r="J15" i="5" a="1"/>
  <c r="J15" i="5" s="1"/>
  <c r="L11" i="4" a="1"/>
  <c r="L11" i="4" s="1"/>
  <c r="F15" i="3" a="1"/>
  <c r="F15" i="3" s="1"/>
  <c r="J15" i="3" a="1"/>
  <c r="J15" i="3" s="1"/>
  <c r="L15" i="5" a="1"/>
  <c r="L15" i="5" s="1"/>
  <c r="K7" i="3" a="1"/>
  <c r="K7" i="3" s="1"/>
  <c r="K16" i="5" a="1"/>
  <c r="K16" i="5" s="1"/>
  <c r="L3" i="5" a="1"/>
  <c r="L3" i="5" s="1"/>
  <c r="K8" i="5" a="1"/>
  <c r="K8" i="5" s="1"/>
  <c r="K15" i="5" a="1"/>
  <c r="K15" i="5" s="1"/>
  <c r="L12" i="4" a="1"/>
  <c r="L12" i="4" s="1"/>
  <c r="L3" i="3" a="1"/>
  <c r="L3" i="3" s="1"/>
  <c r="K15" i="3" a="1"/>
  <c r="K15" i="3" s="1"/>
  <c r="L15" i="3" a="1"/>
  <c r="L15" i="3" s="1"/>
  <c r="E14" i="3" a="1"/>
  <c r="E14" i="3" s="1"/>
  <c r="L5" i="3" a="1"/>
  <c r="L5" i="3" s="1"/>
  <c r="K9" i="3" a="1"/>
  <c r="K9" i="3" s="1"/>
  <c r="M16" i="3" a="1"/>
  <c r="M16" i="3" s="1"/>
  <c r="C14" i="3" a="1"/>
  <c r="C14" i="3" s="1"/>
  <c r="F14" i="3" a="1"/>
  <c r="F14" i="3" s="1"/>
  <c r="M6" i="3" a="1"/>
  <c r="M6" i="3" s="1"/>
  <c r="L11" i="3" a="1"/>
  <c r="L11" i="3" s="1"/>
  <c r="J17" i="3" a="1"/>
  <c r="J17" i="3" s="1"/>
  <c r="K5" i="3" a="1"/>
  <c r="K5" i="3" s="1"/>
  <c r="L16" i="3" a="1"/>
  <c r="L16" i="3" s="1"/>
  <c r="J7" i="3" a="1"/>
  <c r="J7" i="3" s="1"/>
  <c r="K13" i="3" a="1"/>
  <c r="K13" i="3" s="1"/>
  <c r="K17" i="3" a="1"/>
  <c r="K17" i="3" s="1"/>
  <c r="C3" i="4" a="1"/>
  <c r="C3" i="4" s="1"/>
  <c r="F3" i="4" a="1"/>
  <c r="F3" i="4" s="1"/>
  <c r="K3" i="4" a="1"/>
  <c r="K3" i="4" s="1"/>
  <c r="K17" i="4" a="1"/>
  <c r="K17" i="4" s="1"/>
  <c r="L3" i="4" a="1"/>
  <c r="L3" i="4" s="1"/>
  <c r="M10" i="4" a="1"/>
  <c r="M10" i="4" s="1"/>
  <c r="J11" i="4" a="1"/>
  <c r="J11" i="4" s="1"/>
  <c r="M9" i="5" a="1"/>
  <c r="M9" i="5" s="1"/>
  <c r="M17" i="5" a="1"/>
  <c r="M17" i="5" s="1"/>
  <c r="J2" i="5" a="1"/>
  <c r="J2" i="5" s="1"/>
  <c r="J10" i="5" a="1"/>
  <c r="J10" i="5" s="1"/>
  <c r="C2" i="5" a="1"/>
  <c r="C2" i="5" s="1"/>
  <c r="M3" i="5" a="1"/>
  <c r="M3" i="5" s="1"/>
  <c r="M11" i="5" a="1"/>
  <c r="M11" i="5" s="1"/>
  <c r="E2" i="5" a="1"/>
  <c r="E2" i="5" s="1"/>
  <c r="E4" i="5" a="1"/>
  <c r="E4" i="5" s="1"/>
  <c r="L2" i="5" a="1"/>
  <c r="L2" i="5" s="1"/>
  <c r="J4" i="5" a="1"/>
  <c r="J4" i="5" s="1"/>
  <c r="F10" i="5" a="1"/>
  <c r="F10" i="5" s="1"/>
  <c r="J9" i="5" a="1"/>
  <c r="J9" i="5" s="1"/>
  <c r="K12" i="5" a="1"/>
  <c r="K12" i="5" s="1"/>
  <c r="J17" i="5" a="1"/>
  <c r="J17" i="5" s="1"/>
  <c r="C3" i="5" a="1"/>
  <c r="C3" i="5" s="1"/>
  <c r="C5" i="5" a="1"/>
  <c r="C5" i="5" s="1"/>
  <c r="C11" i="5" a="1"/>
  <c r="C11" i="5" s="1"/>
  <c r="C15" i="5" a="1"/>
  <c r="C15" i="5" s="1"/>
  <c r="M2" i="5" a="1"/>
  <c r="M2" i="5" s="1"/>
  <c r="L4" i="5" a="1"/>
  <c r="L4" i="5" s="1"/>
  <c r="J6" i="5" a="1"/>
  <c r="J6" i="5" s="1"/>
  <c r="K9" i="5" a="1"/>
  <c r="K9" i="5" s="1"/>
  <c r="M10" i="5" a="1"/>
  <c r="M10" i="5" s="1"/>
  <c r="L12" i="5" a="1"/>
  <c r="L12" i="5" s="1"/>
  <c r="J14" i="5" a="1"/>
  <c r="J14" i="5" s="1"/>
  <c r="K17" i="5" a="1"/>
  <c r="K17" i="5" s="1"/>
  <c r="D2" i="5" a="1"/>
  <c r="D2" i="5" s="1"/>
  <c r="C10" i="5" a="1"/>
  <c r="C10" i="5" s="1"/>
  <c r="D10" i="5" a="1"/>
  <c r="D10" i="5" s="1"/>
  <c r="K10" i="5" a="1"/>
  <c r="K10" i="5" s="1"/>
  <c r="M8" i="5" a="1"/>
  <c r="M8" i="5" s="1"/>
  <c r="J12" i="5" a="1"/>
  <c r="J12" i="5" s="1"/>
  <c r="M16" i="5" a="1"/>
  <c r="M16" i="5" s="1"/>
  <c r="K4" i="5" a="1"/>
  <c r="K4" i="5" s="1"/>
  <c r="D3" i="5" a="1"/>
  <c r="D3" i="5" s="1"/>
  <c r="D5" i="5" a="1"/>
  <c r="D5" i="5" s="1"/>
  <c r="D11" i="5" a="1"/>
  <c r="D11" i="5" s="1"/>
  <c r="D15" i="5" a="1"/>
  <c r="D15" i="5" s="1"/>
  <c r="J3" i="5" a="1"/>
  <c r="J3" i="5" s="1"/>
  <c r="K6" i="5" a="1"/>
  <c r="K6" i="5" s="1"/>
  <c r="J11" i="5" a="1"/>
  <c r="J11" i="5" s="1"/>
  <c r="K14" i="5" a="1"/>
  <c r="K14" i="5" s="1"/>
  <c r="D13" i="4" a="1"/>
  <c r="D13" i="4" s="1"/>
  <c r="E13" i="4" a="1"/>
  <c r="E13" i="4" s="1"/>
  <c r="F13" i="4" a="1"/>
  <c r="F13" i="4" s="1"/>
  <c r="L17" i="4" a="1"/>
  <c r="L17" i="4" s="1"/>
  <c r="L4" i="4" a="1"/>
  <c r="L4" i="4" s="1"/>
  <c r="K11" i="4" a="1"/>
  <c r="K11" i="4" s="1"/>
  <c r="K13" i="4" a="1"/>
  <c r="K13" i="4" s="1"/>
  <c r="D17" i="4" a="1"/>
  <c r="D17" i="4" s="1"/>
  <c r="D3" i="4" a="1"/>
  <c r="D3" i="4" s="1"/>
  <c r="C12" i="4" a="1"/>
  <c r="C12" i="4" s="1"/>
  <c r="E17" i="4" a="1"/>
  <c r="E17" i="4" s="1"/>
  <c r="K5" i="4" a="1"/>
  <c r="K5" i="4" s="1"/>
  <c r="M12" i="4" a="1"/>
  <c r="M12" i="4" s="1"/>
  <c r="C17" i="4" a="1"/>
  <c r="C17" i="4" s="1"/>
  <c r="J5" i="4" a="1"/>
  <c r="J5" i="4" s="1"/>
  <c r="M2" i="4" a="1"/>
  <c r="M2" i="4" s="1"/>
  <c r="J13" i="4" a="1"/>
  <c r="J13" i="4" s="1"/>
  <c r="J14" i="4" a="1"/>
  <c r="J14" i="4" s="1"/>
  <c r="M17" i="4" a="1"/>
  <c r="M17" i="4" s="1"/>
  <c r="M14" i="4" a="1"/>
  <c r="M14" i="4" s="1"/>
  <c r="D12" i="4" a="1"/>
  <c r="D12" i="4" s="1"/>
  <c r="D16" i="4" a="1"/>
  <c r="D16" i="4" s="1"/>
  <c r="K2" i="4" a="1"/>
  <c r="K2" i="4" s="1"/>
  <c r="L5" i="4" a="1"/>
  <c r="L5" i="4" s="1"/>
  <c r="J7" i="4" a="1"/>
  <c r="J7" i="4" s="1"/>
  <c r="K10" i="4" a="1"/>
  <c r="K10" i="4" s="1"/>
  <c r="L13" i="4" a="1"/>
  <c r="L13" i="4" s="1"/>
  <c r="J15" i="4" a="1"/>
  <c r="J15" i="4" s="1"/>
  <c r="M15" i="4" a="1"/>
  <c r="M15" i="4" s="1"/>
  <c r="L6" i="4" a="1"/>
  <c r="L6" i="4" s="1"/>
  <c r="E12" i="4" a="1"/>
  <c r="E12" i="4" s="1"/>
  <c r="E16" i="4" a="1"/>
  <c r="E16" i="4" s="1"/>
  <c r="L2" i="4" a="1"/>
  <c r="L2" i="4" s="1"/>
  <c r="J4" i="4" a="1"/>
  <c r="J4" i="4" s="1"/>
  <c r="K7" i="4" a="1"/>
  <c r="K7" i="4" s="1"/>
  <c r="L10" i="4" a="1"/>
  <c r="L10" i="4" s="1"/>
  <c r="J12" i="4" a="1"/>
  <c r="J12" i="4" s="1"/>
  <c r="K15" i="4" a="1"/>
  <c r="K15" i="4" s="1"/>
  <c r="M16" i="4" a="1"/>
  <c r="M16" i="4" s="1"/>
  <c r="J6" i="4" a="1"/>
  <c r="J6" i="4" s="1"/>
  <c r="K6" i="4" a="1"/>
  <c r="K6" i="4" s="1"/>
  <c r="M7" i="4" a="1"/>
  <c r="M7" i="4" s="1"/>
  <c r="K14" i="4" a="1"/>
  <c r="K14" i="4" s="1"/>
  <c r="J16" i="4" a="1"/>
  <c r="J16" i="4" s="1"/>
  <c r="K16" i="4" a="1"/>
  <c r="K16" i="4" s="1"/>
  <c r="C16" i="4" a="1"/>
  <c r="C16" i="4" s="1"/>
  <c r="J10" i="3" a="1"/>
  <c r="J10" i="3" s="1"/>
  <c r="K2" i="3" a="1"/>
  <c r="K2" i="3" s="1"/>
  <c r="M3" i="3" a="1"/>
  <c r="M3" i="3" s="1"/>
  <c r="K10" i="3" a="1"/>
  <c r="K10" i="3" s="1"/>
  <c r="M11" i="3" a="1"/>
  <c r="M11" i="3" s="1"/>
  <c r="J6" i="3" a="1"/>
  <c r="J6" i="3" s="1"/>
  <c r="J3" i="3" a="1"/>
  <c r="J3" i="3" s="1"/>
  <c r="L4" i="3" a="1"/>
  <c r="L4" i="3" s="1"/>
  <c r="K6" i="3" a="1"/>
  <c r="K6" i="3" s="1"/>
  <c r="J11" i="3" a="1"/>
  <c r="J11" i="3" s="1"/>
  <c r="L12" i="3" a="1"/>
  <c r="L12" i="3" s="1"/>
  <c r="K14" i="3" a="1"/>
  <c r="K14" i="3" s="1"/>
  <c r="J4" i="3" a="1"/>
  <c r="J4" i="3" s="1"/>
  <c r="L2" i="3" a="1"/>
  <c r="L2" i="3" s="1"/>
  <c r="K4" i="3" a="1"/>
  <c r="K4" i="3" s="1"/>
  <c r="M5" i="3" a="1"/>
  <c r="M5" i="3" s="1"/>
  <c r="L10" i="3" a="1"/>
  <c r="L10" i="3" s="1"/>
  <c r="K12" i="3" a="1"/>
  <c r="K12" i="3" s="1"/>
  <c r="M13" i="3" a="1"/>
  <c r="M13" i="3" s="1"/>
  <c r="J8" i="3" a="1"/>
  <c r="J8" i="3" s="1"/>
  <c r="L9" i="3" a="1"/>
  <c r="L9" i="3" s="1"/>
  <c r="M12" i="3" a="1"/>
  <c r="M12" i="3" s="1"/>
  <c r="J16" i="3" a="1"/>
  <c r="J16" i="3" s="1"/>
  <c r="L17" i="3" a="1"/>
  <c r="L17" i="3" s="1"/>
  <c r="J2" i="3" a="1"/>
  <c r="J2" i="3" s="1"/>
  <c r="L13" i="3" a="1"/>
  <c r="L13" i="3" s="1"/>
  <c r="J14" i="3" a="1"/>
  <c r="J14" i="3" s="1"/>
  <c r="D17" i="3" a="1"/>
  <c r="D17" i="3" s="1"/>
  <c r="C16" i="3" a="1"/>
  <c r="C16" i="3" s="1"/>
  <c r="D16" i="3" a="1"/>
  <c r="D16" i="3" s="1"/>
  <c r="E16" i="3" a="1"/>
  <c r="E16" i="3" s="1"/>
  <c r="C17" i="3" a="1"/>
  <c r="C17" i="3" s="1"/>
  <c r="E17" i="3" a="1"/>
  <c r="E17" i="3" s="1"/>
  <c r="D13" i="3" a="1"/>
  <c r="D13" i="3" s="1"/>
  <c r="C12" i="3" a="1"/>
  <c r="C12" i="3" s="1"/>
  <c r="D12" i="3" a="1"/>
  <c r="D12" i="3" s="1"/>
  <c r="E12" i="3" a="1"/>
  <c r="E12" i="3" s="1"/>
  <c r="E13" i="3" a="1"/>
  <c r="E13" i="3" s="1"/>
  <c r="C13" i="3" a="1"/>
  <c r="C13" i="3" s="1"/>
  <c r="Z1" i="1" a="1"/>
  <c r="P3" i="1"/>
  <c r="AD33" i="1"/>
  <c r="AC33" i="1"/>
  <c r="AB33" i="1"/>
  <c r="AA33" i="1"/>
  <c r="AD31" i="1"/>
  <c r="AC31" i="1"/>
  <c r="AB31" i="1"/>
  <c r="AA31" i="1"/>
  <c r="AD29" i="1"/>
  <c r="AC29" i="1"/>
  <c r="AB29" i="1"/>
  <c r="AA29" i="1"/>
  <c r="AD27" i="1"/>
  <c r="AC27" i="1"/>
  <c r="AB27" i="1"/>
  <c r="AA27" i="1"/>
  <c r="AD25" i="1"/>
  <c r="AC25" i="1"/>
  <c r="AB25" i="1"/>
  <c r="AA25" i="1"/>
  <c r="AD23" i="1"/>
  <c r="AC23" i="1"/>
  <c r="AB23" i="1"/>
  <c r="AA23" i="1"/>
  <c r="AD21" i="1"/>
  <c r="AC21" i="1"/>
  <c r="AB21" i="1"/>
  <c r="AA21" i="1"/>
  <c r="AD19" i="1"/>
  <c r="AC19" i="1"/>
  <c r="AB19" i="1"/>
  <c r="AA19" i="1"/>
  <c r="AD17" i="1"/>
  <c r="AC17" i="1"/>
  <c r="AB17" i="1"/>
  <c r="AA17" i="1"/>
  <c r="AD15" i="1"/>
  <c r="AC15" i="1"/>
  <c r="AB15" i="1"/>
  <c r="AA15" i="1"/>
  <c r="AD13" i="1"/>
  <c r="AC13" i="1"/>
  <c r="AB13" i="1"/>
  <c r="AA13" i="1"/>
  <c r="AD11" i="1"/>
  <c r="AC11" i="1"/>
  <c r="AB11" i="1"/>
  <c r="AA11" i="1"/>
  <c r="AD9" i="1"/>
  <c r="AC9" i="1"/>
  <c r="AB9" i="1"/>
  <c r="AA9" i="1"/>
  <c r="AD7" i="1"/>
  <c r="AC7" i="1"/>
  <c r="AB7" i="1"/>
  <c r="AA7" i="1"/>
  <c r="Z2" i="1"/>
  <c r="Z7" i="1" l="1"/>
  <c r="Z8" i="1" s="1"/>
  <c r="Z11" i="1"/>
  <c r="Z12" i="1" s="1"/>
  <c r="Z15" i="1"/>
  <c r="Z16" i="1" s="1"/>
  <c r="Z9" i="1"/>
  <c r="Z10" i="1" s="1"/>
  <c r="Z25" i="1"/>
  <c r="Z26" i="1" s="1"/>
  <c r="Z13" i="1"/>
  <c r="Z14" i="1" s="1"/>
  <c r="Z17" i="1"/>
  <c r="Z18" i="1" s="1"/>
  <c r="Z29" i="1"/>
  <c r="Z30" i="1" s="1"/>
  <c r="Z33" i="1"/>
  <c r="Z34" i="1" s="1"/>
  <c r="Z21" i="1"/>
  <c r="Z22" i="1" s="1"/>
  <c r="Z19" i="1"/>
  <c r="Z20" i="1" s="1"/>
  <c r="Z23" i="1"/>
  <c r="Z24" i="1" s="1"/>
  <c r="Z27" i="1"/>
  <c r="Z28" i="1" s="1"/>
  <c r="Z31" i="1"/>
  <c r="Z32" i="1" s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62" i="1"/>
  <c r="H63" i="1"/>
  <c r="H64" i="1"/>
  <c r="H65" i="1"/>
  <c r="H67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H35" i="1" l="1"/>
  <c r="R35" i="1"/>
  <c r="M35" i="1"/>
  <c r="K9" i="1"/>
  <c r="X11" i="1"/>
  <c r="P10" i="1"/>
  <c r="P6" i="1"/>
  <c r="P4" i="1"/>
  <c r="P11" i="1"/>
  <c r="P9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K10" i="1"/>
  <c r="K4" i="1"/>
  <c r="K11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8" i="1" l="1"/>
  <c r="C9" i="5" s="1" a="1"/>
  <c r="C9" i="5" s="1"/>
  <c r="C10" i="1"/>
  <c r="C12" i="1"/>
  <c r="C8" i="5" s="1" a="1"/>
  <c r="C8" i="5" s="1"/>
  <c r="C11" i="1"/>
  <c r="C12" i="5" s="1" a="1"/>
  <c r="C12" i="5" s="1"/>
  <c r="C5" i="1"/>
  <c r="C7" i="5" s="1" a="1"/>
  <c r="C7" i="5" s="1"/>
  <c r="C4" i="1"/>
  <c r="C6" i="1"/>
  <c r="C9" i="1"/>
  <c r="C17" i="5" s="1" a="1"/>
  <c r="C17" i="5" s="1"/>
  <c r="C7" i="1"/>
  <c r="C13" i="5" s="1" a="1"/>
  <c r="C13" i="5" s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" i="1"/>
  <c r="J9" i="4" l="1" a="1"/>
  <c r="J9" i="4" s="1"/>
  <c r="C16" i="5" a="1"/>
  <c r="C16" i="5" s="1"/>
  <c r="C4" i="4" a="1"/>
  <c r="C4" i="4" s="1"/>
  <c r="C6" i="5" a="1"/>
  <c r="C6" i="5" s="1"/>
  <c r="C14" i="4" a="1"/>
  <c r="C14" i="4" s="1"/>
  <c r="C3" i="3" a="1"/>
  <c r="C3" i="3" s="1"/>
  <c r="C15" i="4" a="1"/>
  <c r="C15" i="4" s="1"/>
  <c r="C2" i="4" a="1"/>
  <c r="C2" i="4" s="1"/>
  <c r="J8" i="4" a="1"/>
  <c r="J8" i="4" s="1"/>
  <c r="C5" i="4" a="1"/>
  <c r="C5" i="4" s="1"/>
  <c r="C6" i="4" a="1"/>
  <c r="C6" i="4" s="1"/>
  <c r="C2" i="3" a="1"/>
  <c r="C2" i="3" s="1"/>
  <c r="C9" i="4" a="1"/>
  <c r="C9" i="4" s="1"/>
  <c r="C7" i="3" a="1"/>
  <c r="C7" i="3" s="1"/>
  <c r="C11" i="4" a="1"/>
  <c r="C11" i="4" s="1"/>
  <c r="C9" i="3" a="1"/>
  <c r="C9" i="3" s="1"/>
  <c r="C10" i="4" a="1"/>
  <c r="C10" i="4" s="1"/>
  <c r="C4" i="3" a="1"/>
  <c r="C4" i="3" s="1"/>
  <c r="C6" i="3" a="1"/>
  <c r="C6" i="3" s="1"/>
  <c r="C8" i="4" a="1"/>
  <c r="C8" i="4" s="1"/>
  <c r="C8" i="3" a="1"/>
  <c r="C8" i="3" s="1"/>
  <c r="C7" i="4" a="1"/>
  <c r="C7" i="4" s="1"/>
  <c r="C10" i="3" a="1"/>
  <c r="C10" i="3" s="1"/>
  <c r="C11" i="3" a="1"/>
  <c r="C11" i="3" s="1"/>
  <c r="C5" i="3" a="1"/>
  <c r="C5" i="3" s="1"/>
  <c r="F10" i="1"/>
  <c r="F3" i="1"/>
  <c r="F6" i="5" s="1" a="1"/>
  <c r="F6" i="5" s="1"/>
  <c r="F6" i="1"/>
  <c r="F4" i="1"/>
  <c r="F8" i="1"/>
  <c r="F9" i="5" s="1" a="1"/>
  <c r="F9" i="5" s="1"/>
  <c r="F5" i="1"/>
  <c r="F12" i="1"/>
  <c r="F8" i="5" s="1" a="1"/>
  <c r="F8" i="5" s="1"/>
  <c r="F9" i="1"/>
  <c r="F7" i="1"/>
  <c r="F13" i="5" s="1" a="1"/>
  <c r="F13" i="5" s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1" i="1"/>
  <c r="F12" i="5" s="1" a="1"/>
  <c r="F12" i="5" s="1"/>
  <c r="E10" i="1"/>
  <c r="E3" i="1"/>
  <c r="E6" i="5" s="1" a="1"/>
  <c r="E6" i="5" s="1"/>
  <c r="E6" i="1"/>
  <c r="E4" i="1"/>
  <c r="E8" i="1"/>
  <c r="E9" i="5" s="1" a="1"/>
  <c r="E9" i="5" s="1"/>
  <c r="E5" i="1"/>
  <c r="E12" i="1"/>
  <c r="E8" i="5" s="1" a="1"/>
  <c r="E8" i="5" s="1"/>
  <c r="E9" i="1"/>
  <c r="E7" i="1"/>
  <c r="E13" i="5" s="1" a="1"/>
  <c r="E13" i="5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11" i="1"/>
  <c r="E12" i="5" s="1" a="1"/>
  <c r="E12" i="5" s="1"/>
  <c r="D10" i="1"/>
  <c r="D3" i="1"/>
  <c r="D6" i="1"/>
  <c r="D4" i="1"/>
  <c r="D8" i="1"/>
  <c r="D9" i="5" s="1" a="1"/>
  <c r="D9" i="5" s="1"/>
  <c r="D5" i="1"/>
  <c r="D12" i="1"/>
  <c r="D8" i="5" s="1" a="1"/>
  <c r="D8" i="5" s="1"/>
  <c r="D9" i="1"/>
  <c r="D7" i="1"/>
  <c r="D13" i="5" s="1" a="1"/>
  <c r="D13" i="5" s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11" i="1"/>
  <c r="D12" i="5" s="1" a="1"/>
  <c r="D12" i="5" s="1"/>
  <c r="D6" i="5" l="1" a="1"/>
  <c r="D6" i="5" s="1"/>
  <c r="D2" i="3"/>
  <c r="F14" i="4" a="1"/>
  <c r="F14" i="4" s="1"/>
  <c r="F17" i="5" a="1"/>
  <c r="F17" i="5" s="1"/>
  <c r="D14" i="4" a="1"/>
  <c r="D14" i="4" s="1"/>
  <c r="D17" i="5" a="1"/>
  <c r="D17" i="5" s="1"/>
  <c r="E14" i="4" a="1"/>
  <c r="E14" i="4" s="1"/>
  <c r="E17" i="5" a="1"/>
  <c r="E17" i="5" s="1"/>
  <c r="M9" i="4" a="1"/>
  <c r="M9" i="4" s="1"/>
  <c r="F16" i="5" a="1"/>
  <c r="F16" i="5" s="1"/>
  <c r="K9" i="4" a="1"/>
  <c r="K9" i="4" s="1"/>
  <c r="D16" i="5" a="1"/>
  <c r="D16" i="5" s="1"/>
  <c r="L9" i="4" a="1"/>
  <c r="L9" i="4" s="1"/>
  <c r="E16" i="5" a="1"/>
  <c r="E16" i="5" s="1"/>
  <c r="F2" i="3" a="1"/>
  <c r="F2" i="3" s="1"/>
  <c r="F7" i="5" a="1"/>
  <c r="F7" i="5" s="1"/>
  <c r="D7" i="5" a="1"/>
  <c r="D7" i="5" s="1"/>
  <c r="E2" i="3" a="1"/>
  <c r="E2" i="3" s="1"/>
  <c r="E7" i="5" a="1"/>
  <c r="E7" i="5" s="1"/>
  <c r="F3" i="3" a="1"/>
  <c r="F3" i="3" s="1"/>
  <c r="F15" i="4" a="1"/>
  <c r="F15" i="4" s="1"/>
  <c r="D3" i="3" a="1"/>
  <c r="D3" i="3" s="1"/>
  <c r="D15" i="4" a="1"/>
  <c r="D15" i="4" s="1"/>
  <c r="E3" i="3" a="1"/>
  <c r="E3" i="3" s="1"/>
  <c r="E15" i="4" a="1"/>
  <c r="E15" i="4" s="1"/>
  <c r="F2" i="4" a="1"/>
  <c r="F2" i="4" s="1"/>
  <c r="M8" i="4" a="1"/>
  <c r="M8" i="4" s="1"/>
  <c r="D2" i="4" a="1"/>
  <c r="D2" i="4" s="1"/>
  <c r="K8" i="4" a="1"/>
  <c r="K8" i="4" s="1"/>
  <c r="E2" i="4" a="1"/>
  <c r="E2" i="4" s="1"/>
  <c r="L8" i="4" a="1"/>
  <c r="L8" i="4" s="1"/>
  <c r="E5" i="4" a="1"/>
  <c r="E5" i="4" s="1"/>
  <c r="D5" i="4" a="1"/>
  <c r="D5" i="4" s="1"/>
  <c r="F5" i="4" a="1"/>
  <c r="F5" i="4" s="1"/>
  <c r="D4" i="4" a="1"/>
  <c r="D4" i="4" s="1"/>
  <c r="E4" i="4" a="1"/>
  <c r="E4" i="4" s="1"/>
  <c r="F4" i="4" a="1"/>
  <c r="F4" i="4" s="1"/>
  <c r="F7" i="3" a="1"/>
  <c r="F7" i="3" s="1"/>
  <c r="F11" i="4" a="1"/>
  <c r="F11" i="4" s="1"/>
  <c r="D7" i="3" a="1"/>
  <c r="D7" i="3" s="1"/>
  <c r="D11" i="4" a="1"/>
  <c r="D11" i="4" s="1"/>
  <c r="E7" i="3" a="1"/>
  <c r="E7" i="3" s="1"/>
  <c r="E11" i="4" a="1"/>
  <c r="E11" i="4" s="1"/>
  <c r="F9" i="3" a="1"/>
  <c r="F9" i="3" s="1"/>
  <c r="F10" i="4" a="1"/>
  <c r="F10" i="4" s="1"/>
  <c r="D9" i="3" a="1"/>
  <c r="D9" i="3" s="1"/>
  <c r="D10" i="4" a="1"/>
  <c r="D10" i="4" s="1"/>
  <c r="E9" i="3" a="1"/>
  <c r="E9" i="3" s="1"/>
  <c r="E10" i="4" a="1"/>
  <c r="E10" i="4" s="1"/>
  <c r="F5" i="3" a="1"/>
  <c r="F5" i="3" s="1"/>
  <c r="F9" i="4" a="1"/>
  <c r="F9" i="4" s="1"/>
  <c r="D5" i="3" a="1"/>
  <c r="D5" i="3" s="1"/>
  <c r="D9" i="4" a="1"/>
  <c r="D9" i="4" s="1"/>
  <c r="E5" i="3" a="1"/>
  <c r="E5" i="3" s="1"/>
  <c r="E9" i="4" a="1"/>
  <c r="E9" i="4" s="1"/>
  <c r="F6" i="3" a="1"/>
  <c r="F6" i="3" s="1"/>
  <c r="F8" i="4" a="1"/>
  <c r="F8" i="4" s="1"/>
  <c r="D6" i="3" a="1"/>
  <c r="D6" i="3" s="1"/>
  <c r="D8" i="4" a="1"/>
  <c r="D8" i="4" s="1"/>
  <c r="E6" i="3" a="1"/>
  <c r="E6" i="3" s="1"/>
  <c r="E8" i="4" a="1"/>
  <c r="E8" i="4" s="1"/>
  <c r="F8" i="3" a="1"/>
  <c r="F8" i="3" s="1"/>
  <c r="F7" i="4" a="1"/>
  <c r="F7" i="4" s="1"/>
  <c r="E8" i="3" a="1"/>
  <c r="E8" i="3" s="1"/>
  <c r="E7" i="4" a="1"/>
  <c r="E7" i="4" s="1"/>
  <c r="D8" i="3" a="1"/>
  <c r="D8" i="3" s="1"/>
  <c r="D7" i="4" a="1"/>
  <c r="D7" i="4" s="1"/>
  <c r="F11" i="3" a="1"/>
  <c r="F11" i="3" s="1"/>
  <c r="F6" i="4" a="1"/>
  <c r="F6" i="4" s="1"/>
  <c r="D11" i="3" a="1"/>
  <c r="D11" i="3" s="1"/>
  <c r="D6" i="4" a="1"/>
  <c r="D6" i="4" s="1"/>
  <c r="E11" i="3" a="1"/>
  <c r="E11" i="3" s="1"/>
  <c r="E6" i="4" a="1"/>
  <c r="E6" i="4" s="1"/>
  <c r="D4" i="3" a="1"/>
  <c r="D4" i="3" s="1"/>
  <c r="E4" i="3" a="1"/>
  <c r="E4" i="3" s="1"/>
  <c r="F4" i="3" a="1"/>
  <c r="F4" i="3" s="1"/>
  <c r="F10" i="3" a="1"/>
  <c r="F10" i="3" s="1"/>
  <c r="D10" i="3" a="1"/>
  <c r="D10" i="3" s="1"/>
  <c r="E10" i="3" a="1"/>
  <c r="E10" i="3" s="1"/>
  <c r="B11" i="1"/>
  <c r="B5" i="1"/>
  <c r="B4" i="1"/>
  <c r="B7" i="1"/>
  <c r="B12" i="1"/>
  <c r="B3" i="1"/>
  <c r="B6" i="1"/>
  <c r="B9" i="1"/>
  <c r="B8" i="1"/>
  <c r="B10" i="1"/>
  <c r="Z1" i="1" l="1"/>
  <c r="Y5" i="1" l="1"/>
  <c r="Y3" i="1"/>
  <c r="Y4" i="1"/>
  <c r="Y6" i="1"/>
  <c r="Y11" i="1"/>
  <c r="Y19" i="1"/>
  <c r="Y27" i="1"/>
  <c r="Y35" i="1"/>
  <c r="Y43" i="1"/>
  <c r="Y51" i="1"/>
  <c r="Y59" i="1"/>
  <c r="Y67" i="1"/>
  <c r="Y37" i="1"/>
  <c r="Y53" i="1"/>
  <c r="Y22" i="1"/>
  <c r="Y38" i="1"/>
  <c r="Y54" i="1"/>
  <c r="Y12" i="1"/>
  <c r="Y20" i="1"/>
  <c r="Y28" i="1"/>
  <c r="Y36" i="1"/>
  <c r="Y44" i="1"/>
  <c r="Y52" i="1"/>
  <c r="Y60" i="1"/>
  <c r="Y13" i="1"/>
  <c r="Y21" i="1"/>
  <c r="Y29" i="1"/>
  <c r="Y45" i="1"/>
  <c r="Y61" i="1"/>
  <c r="Y14" i="1"/>
  <c r="Y30" i="1"/>
  <c r="Y46" i="1"/>
  <c r="Y62" i="1"/>
  <c r="Y7" i="1"/>
  <c r="Y15" i="1"/>
  <c r="Y23" i="1"/>
  <c r="Y31" i="1"/>
  <c r="Y39" i="1"/>
  <c r="Y47" i="1"/>
  <c r="Y55" i="1"/>
  <c r="Y63" i="1"/>
  <c r="Y17" i="1"/>
  <c r="Y33" i="1"/>
  <c r="Y49" i="1"/>
  <c r="Y65" i="1"/>
  <c r="Y10" i="1"/>
  <c r="Y26" i="1"/>
  <c r="Y42" i="1"/>
  <c r="Y58" i="1"/>
  <c r="Y8" i="1"/>
  <c r="Y16" i="1"/>
  <c r="Y24" i="1"/>
  <c r="Y32" i="1"/>
  <c r="Y40" i="1"/>
  <c r="Y48" i="1"/>
  <c r="Y56" i="1"/>
  <c r="Y64" i="1"/>
  <c r="Y9" i="1"/>
  <c r="Y25" i="1"/>
  <c r="Y41" i="1"/>
  <c r="Y57" i="1"/>
  <c r="Y18" i="1"/>
  <c r="Y34" i="1"/>
  <c r="Y50" i="1"/>
  <c r="Y66" i="1"/>
</calcChain>
</file>

<file path=xl/sharedStrings.xml><?xml version="1.0" encoding="utf-8"?>
<sst xmlns="http://schemas.openxmlformats.org/spreadsheetml/2006/main" count="62" uniqueCount="21">
  <si>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</si>
  <si>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</si>
  <si>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</si>
  <si>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</si>
  <si>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</si>
  <si>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</si>
  <si>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</si>
  <si>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</si>
  <si>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</si>
  <si>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</si>
  <si>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</si>
  <si>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</si>
  <si>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</si>
  <si>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</si>
  <si>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</si>
  <si>
    <t>RINK</t>
  </si>
  <si>
    <t>TEAMS</t>
  </si>
  <si>
    <t>WINS</t>
  </si>
  <si>
    <t>FOR</t>
  </si>
  <si>
    <t>AGAINST</t>
  </si>
  <si>
    <t>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</si>
</sst>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  <xf numFmtId="0" fontId="1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9" borderId="32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7" fillId="9" borderId="33" xfId="0" applyFont="1" applyFill="1" applyBorder="1" applyAlignment="1">
      <alignment horizontal="center" vertical="center"/>
    </xf>
    <xf numFmtId="164" fontId="6" fillId="0" borderId="32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64" fontId="6" fillId="9" borderId="32" xfId="0" applyNumberFormat="1" applyFont="1" applyFill="1" applyBorder="1" applyAlignment="1">
      <alignment horizontal="center" vertical="center"/>
    </xf>
    <xf numFmtId="0" fontId="6" fillId="9" borderId="35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164" fontId="6" fillId="9" borderId="0" xfId="0" applyNumberFormat="1" applyFont="1" applyFill="1" applyBorder="1" applyAlignment="1">
      <alignment horizontal="center" vertical="center"/>
    </xf>
    <xf numFmtId="0" fontId="6" fillId="9" borderId="39" xfId="0" applyFont="1" applyFill="1" applyBorder="1" applyAlignment="1">
      <alignment horizontal="center" vertical="center"/>
    </xf>
    <xf numFmtId="164" fontId="6" fillId="9" borderId="33" xfId="0" applyNumberFormat="1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164" fontId="1" fillId="6" borderId="8" xfId="0" applyNumberFormat="1" applyFont="1" applyFill="1" applyBorder="1" applyAlignment="1" applyProtection="1">
      <alignment horizontal="center" vertical="center"/>
    </xf>
    <xf numFmtId="164" fontId="1" fillId="6" borderId="11" xfId="0" applyNumberFormat="1" applyFont="1" applyFill="1" applyBorder="1" applyAlignment="1" applyProtection="1">
      <alignment horizontal="center" vertical="center"/>
    </xf>
    <xf numFmtId="164" fontId="1" fillId="6" borderId="14" xfId="0" applyNumberFormat="1" applyFont="1" applyFill="1" applyBorder="1" applyAlignment="1" applyProtection="1">
      <alignment horizontal="center" vertical="center"/>
    </xf>
    <xf numFmtId="0" fontId="0" fillId="0" borderId="38" xfId="0" applyBorder="1"/>
    <xf numFmtId="0" fontId="0" fillId="0" borderId="40" xfId="0" applyBorder="1"/>
    <xf numFmtId="0" fontId="2" fillId="0" borderId="0" xfId="0" applyFont="1" applyProtection="1">
      <protection locked="0" hidden="1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5" fillId="0" borderId="3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9" borderId="34" xfId="0" applyFont="1" applyFill="1" applyBorder="1" applyAlignment="1">
      <alignment horizontal="center" vertical="center"/>
    </xf>
    <xf numFmtId="0" fontId="5" fillId="9" borderId="36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9" borderId="32" xfId="0" applyFont="1" applyFill="1" applyBorder="1" applyAlignment="1">
      <alignment horizontal="center" vertical="center"/>
    </xf>
    <xf numFmtId="0" fontId="5" fillId="9" borderId="33" xfId="0" applyFont="1" applyFill="1" applyBorder="1" applyAlignment="1">
      <alignment horizontal="center" vertical="center"/>
    </xf>
  </cellXfs>
  <cellStyles count="1">
    <cellStyle name="Normal" xfId="0" builtinId="0"/>
  </cellStyles>
  <dxfs count="40"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A69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0</xdr:row>
          <xdr:rowOff>0</xdr:rowOff>
        </xdr:from>
        <xdr:to>
          <xdr:col>13</xdr:col>
          <xdr:colOff>28575</xdr:colOff>
          <xdr:row>44</xdr:row>
          <xdr:rowOff>133350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200026</xdr:colOff>
          <xdr:row>0</xdr:row>
          <xdr:rowOff>0</xdr:rowOff>
        </xdr:from>
        <xdr:to>
          <xdr:col>0</xdr:col>
          <xdr:colOff>2054680</xdr:colOff>
          <xdr:row>1</xdr:row>
          <xdr:rowOff>122463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omit scores from display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N2:O2"/>
  <sheetViews>
    <sheetView showGridLines="0" showRowColHeaders="0" workbookViewId="0">
      <selection activeCell="O21" sqref="O21"/>
    </sheetView>
  </sheetViews>
  <sheetFormatPr defaultColWidth="8.85546875" defaultRowHeight="15" x14ac:dyDescent="0.25"/>
  <cols>
    <col min="1" max="1" width="8.85546875" style="1"/>
    <col min="2" max="2" width="8.85546875" style="1" customWidth="1"/>
    <col min="3" max="16384" width="8.85546875" style="1"/>
  </cols>
  <sheetData>
    <row r="2" spans="14:15" x14ac:dyDescent="0.3">
      <c r="N2" s="76"/>
      <c r="O2" s="76"/>
    </row>
  </sheetData>
  <sheetProtection sheet="1" objects="1" scenarios="1"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409575</xdr:colOff>
                <xdr:row>0</xdr:row>
                <xdr:rowOff>0</xdr:rowOff>
              </from>
              <to>
                <xdr:col>13</xdr:col>
                <xdr:colOff>28575</xdr:colOff>
                <xdr:row>44</xdr:row>
                <xdr:rowOff>133350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258"/>
  <sheetViews>
    <sheetView showGridLines="0" showRowColHeaders="0" tabSelected="1" zoomScale="70" zoomScaleNormal="70" workbookViewId="0">
      <selection activeCell="A3" sqref="A3"/>
    </sheetView>
  </sheetViews>
  <sheetFormatPr defaultColWidth="10.28515625" defaultRowHeight="15.75" x14ac:dyDescent="0.25"/>
  <cols>
    <col min="1" max="1" width="33.28515625" style="29" customWidth="1"/>
    <col min="2" max="5" width="10.28515625" style="29"/>
    <col min="6" max="6" width="10.28515625" style="30"/>
    <col min="7" max="16" width="10.28515625" style="29"/>
    <col min="17" max="17" width="10.28515625" style="31"/>
    <col min="18" max="20" width="10.28515625" style="29"/>
    <col min="21" max="22" width="17.42578125" style="29" customWidth="1"/>
    <col min="23" max="23" width="10.28515625" style="29" hidden="1" customWidth="1"/>
    <col min="24" max="25" width="6.7109375" style="29" hidden="1" customWidth="1"/>
    <col min="26" max="30" width="10.28515625" style="29" hidden="1" customWidth="1"/>
    <col min="31" max="16384" width="10.28515625" style="29"/>
  </cols>
  <sheetData>
    <row r="1" spans="1:30" ht="16.149999999999999" customHeight="1" thickBot="1" x14ac:dyDescent="0.3">
      <c r="A1" s="87" t="s">
        <v>0</v>
      </c>
      <c r="B1" s="89" t="s">
        <v>2</v>
      </c>
      <c r="C1" s="84" t="s">
        <v>1</v>
      </c>
      <c r="D1" s="85"/>
      <c r="E1" s="85"/>
      <c r="F1" s="86"/>
      <c r="G1" s="91" t="s">
        <v>7</v>
      </c>
      <c r="H1" s="92"/>
      <c r="I1" s="93"/>
      <c r="J1" s="2">
        <v>12</v>
      </c>
      <c r="K1" s="94" t="s">
        <v>8</v>
      </c>
      <c r="L1" s="95"/>
      <c r="M1" s="95"/>
      <c r="N1" s="96"/>
      <c r="O1" s="2">
        <v>12</v>
      </c>
      <c r="P1" s="81" t="s">
        <v>9</v>
      </c>
      <c r="Q1" s="82"/>
      <c r="R1" s="82"/>
      <c r="S1" s="83"/>
      <c r="T1" s="20">
        <v>12</v>
      </c>
      <c r="U1" s="77" t="s">
        <v>13</v>
      </c>
      <c r="V1" s="79" t="s">
        <v>13</v>
      </c>
      <c r="W1" s="3"/>
      <c r="X1" s="3"/>
      <c r="Y1" s="3"/>
      <c r="Z1" s="29" t="b">
        <f t="array" ref="Z1">AND(B3:B11&lt;=B4:B12, COUNTA(R3:S34)=0)</f>
        <v>1</v>
      </c>
    </row>
    <row r="2" spans="1:30" ht="48" thickBot="1" x14ac:dyDescent="0.3">
      <c r="A2" s="88"/>
      <c r="B2" s="90"/>
      <c r="C2" s="16" t="s">
        <v>6</v>
      </c>
      <c r="D2" s="17" t="s">
        <v>3</v>
      </c>
      <c r="E2" s="17" t="s">
        <v>5</v>
      </c>
      <c r="F2" s="17" t="s">
        <v>4</v>
      </c>
      <c r="G2" s="27" t="s">
        <v>14</v>
      </c>
      <c r="H2" s="18" t="s">
        <v>3</v>
      </c>
      <c r="I2" s="18" t="s">
        <v>4</v>
      </c>
      <c r="J2" s="19" t="s">
        <v>10</v>
      </c>
      <c r="K2" s="24" t="s">
        <v>12</v>
      </c>
      <c r="L2" s="47" t="s">
        <v>14</v>
      </c>
      <c r="M2" s="48" t="s">
        <v>3</v>
      </c>
      <c r="N2" s="48" t="s">
        <v>4</v>
      </c>
      <c r="O2" s="48" t="s">
        <v>10</v>
      </c>
      <c r="P2" s="22" t="s">
        <v>11</v>
      </c>
      <c r="Q2" s="28" t="s">
        <v>14</v>
      </c>
      <c r="R2" s="21" t="s">
        <v>3</v>
      </c>
      <c r="S2" s="21" t="s">
        <v>4</v>
      </c>
      <c r="T2" s="23" t="s">
        <v>10</v>
      </c>
      <c r="U2" s="78"/>
      <c r="V2" s="80"/>
      <c r="W2" s="3"/>
      <c r="X2" s="3"/>
      <c r="Y2" s="3"/>
      <c r="Z2" s="29" t="b">
        <f>COUNTA(A3:A34)*6=(COUNTA(G3:I34)+COUNTA(L3:N34))</f>
        <v>1</v>
      </c>
    </row>
    <row r="3" spans="1:30" ht="20.45" customHeight="1" x14ac:dyDescent="0.3">
      <c r="A3" s="26"/>
      <c r="B3" s="4" t="str">
        <f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>IF(NOT(ISBLANK($H3)), IF(($H3+$J3)&gt;$I3,1,0) +IF(($M3+$O3)&gt;$N3,1,0)+IF(($R3+$T3)&gt;$S3,1,0), "")</f>
        <v/>
      </c>
      <c r="D3" s="6" t="str">
        <f>IF(NOT(ISBLANK($H3)),MIN($H3,$J$1*1.5)+IF(NOT(ISBLANK($M3)),MIN($M3,$O$1*1.5),0)+IF(NOT(ISBLANK($R3)),MIN($R3,$T$1*1.5),0), "")</f>
        <v/>
      </c>
      <c r="E3" s="70" t="str">
        <f>IF(NOT(ISBLANK($H3)), MAX($H3 - $J$1*1.5, 0) + IF(NOT(ISBLANK($M3)), MAX($M3 - $O$1*1.5, 0))+ IF(NOT(ISBLANK($R3)), MAX($R3 - $T$1*1.5, 0)), "")</f>
        <v/>
      </c>
      <c r="F3" s="7" t="str">
        <f>IF(NOT(ISBLANK($I3)),$I3+IF(NOT(ISBLANK($N3)), $N3, 0)+IF(NOT(ISBLANK($S3)), $S3, 0), "")</f>
        <v/>
      </c>
      <c r="G3" s="32"/>
      <c r="H3" s="33"/>
      <c r="I3" s="33"/>
      <c r="J3" s="34"/>
      <c r="K3" s="4" t="str">
        <f>IF(ISBLANK(G3), "", G3)</f>
        <v/>
      </c>
      <c r="L3" s="49"/>
      <c r="M3" s="33"/>
      <c r="N3" s="33"/>
      <c r="O3" s="34"/>
      <c r="P3" s="4" t="str">
        <f>CONCATENATE(IF(NOT(ISBLANK(G3)), G3, ""),IF(NOT(ISBLANK(L3)), CONCATENATE(", ", L3), ""))</f>
        <v/>
      </c>
      <c r="Q3" s="49"/>
      <c r="R3" s="33"/>
      <c r="S3" s="33"/>
      <c r="T3" s="34"/>
      <c r="U3" s="41"/>
      <c r="V3" s="42"/>
      <c r="W3" s="3" t="b">
        <f>AND(L3=G3,NOT(ISBLANK(L3)),NOT(ISBLANK(G3)))</f>
        <v>0</v>
      </c>
      <c r="X3" s="3" t="b">
        <f>AND(OR(Q3=L3,Q3=G3),NOT(ISBLANK(Q3)))</f>
        <v>0</v>
      </c>
      <c r="Y3" s="3" t="b">
        <f>AND($Z$1,$Z$2,Z3=4)</f>
        <v>0</v>
      </c>
      <c r="Z3" s="29">
        <f>SUMPRODUCT(1/COUNTIF(AA3:AD3, AA3:AD3))</f>
        <v>1</v>
      </c>
      <c r="AA3" s="29">
        <f>G3</f>
        <v>0</v>
      </c>
      <c r="AB3" s="29">
        <f>L3</f>
        <v>0</v>
      </c>
      <c r="AC3" s="29">
        <f>G4</f>
        <v>0</v>
      </c>
      <c r="AD3" s="29">
        <f>L4</f>
        <v>0</v>
      </c>
    </row>
    <row r="4" spans="1:30" ht="20.45" customHeight="1" x14ac:dyDescent="0.3">
      <c r="A4" s="26"/>
      <c r="B4" s="8" t="str">
        <f>IF(NOT(ISBLANK($H4)),RANK(C4,$C$3:$C$34)+SUMPRODUCT(--($C$3:$C$34=$C4),--(D4&lt;$D$3:$D$34))+SUMPRODUCT(--($C$3:$C$34=$C4),--(D4=$D$3:$D$34),--(E4&lt;$E$3:$E$34))+SUMPRODUCT(--($C$3:$C$34=$C4),--(D4=$D$3:$D$34),--(E4=$E$3:$E$34),--(F4&gt;$F$3:$F$34)),IF(NOT(ISBLANK(G4)),RANK(G4, $G$3:$G$34, 1),""))</f>
        <v/>
      </c>
      <c r="C4" s="9" t="str">
        <f>IF(NOT(ISBLANK($H4)), IF(($H4+$J4)&gt;$I4,1,0) +IF(($M4+$O4)&gt;$N4,1,0)+IF(($R4+$T4)&gt;$S4,1,0), "")</f>
        <v/>
      </c>
      <c r="D4" s="10" t="str">
        <f>IF(NOT(ISBLANK($H4)),MIN($H4,$J$1*1.5)+IF(NOT(ISBLANK($M4)),MIN($M4,$O$1*1.5),0)+IF(NOT(ISBLANK($R4)),MIN($R4,$T$1*1.5),0), "")</f>
        <v/>
      </c>
      <c r="E4" s="71" t="str">
        <f>IF(NOT(ISBLANK($H4)), MAX($H4 - $J$1*1.5, 0) + IF(NOT(ISBLANK($M4)), MAX($M4 - $O$1*1.5, 0))+ IF(NOT(ISBLANK($R4)), MAX($R4 - $T$1*1.5, 0)), "")</f>
        <v/>
      </c>
      <c r="F4" s="11" t="str">
        <f>IF(NOT(ISBLANK($I4)),$I4+IF(NOT(ISBLANK($N4)), $N4, 0)+IF(NOT(ISBLANK($S4)), $S4, 0), "")</f>
        <v/>
      </c>
      <c r="G4" s="35"/>
      <c r="H4" s="25"/>
      <c r="I4" s="25"/>
      <c r="J4" s="36"/>
      <c r="K4" s="8" t="str">
        <f>IF(ISBLANK(G4), "", G4)</f>
        <v/>
      </c>
      <c r="L4" s="37"/>
      <c r="M4" s="25"/>
      <c r="N4" s="25"/>
      <c r="O4" s="36"/>
      <c r="P4" s="8" t="str">
        <f>CONCATENATE(IF(NOT(ISBLANK(G4)), G4, ""),IF(NOT(ISBLANK(L4)), CONCATENATE(", ", L4), ""))</f>
        <v/>
      </c>
      <c r="Q4" s="37"/>
      <c r="R4" s="25"/>
      <c r="S4" s="25"/>
      <c r="T4" s="36"/>
      <c r="U4" s="43"/>
      <c r="V4" s="44"/>
      <c r="W4" s="3" t="b">
        <f t="shared" ref="W4:W34" si="0">AND(L4=G4,NOT(ISBLANK(L4)),NOT(ISBLANK(G4)))</f>
        <v>0</v>
      </c>
      <c r="X4" s="3" t="b">
        <f t="shared" ref="X4:X34" si="1">AND(OR(Q4=L4,Q4=G4),NOT(ISBLANK(Q4)))</f>
        <v>0</v>
      </c>
      <c r="Y4" s="3" t="b">
        <f t="shared" ref="Y4:Y67" si="2">AND($Z$1,$Z$2,Z4=4)</f>
        <v>0</v>
      </c>
      <c r="Z4" s="29">
        <f>Z3</f>
        <v>1</v>
      </c>
    </row>
    <row r="5" spans="1:30" ht="20.45" customHeight="1" x14ac:dyDescent="0.3">
      <c r="A5" s="26"/>
      <c r="B5" s="8" t="str">
        <f>IF(NOT(ISBLANK($H5)),RANK(C5,$C$3:$C$34)+SUMPRODUCT(--($C$3:$C$34=$C5),--(D5&lt;$D$3:$D$34))+SUMPRODUCT(--($C$3:$C$34=$C5),--(D5=$D$3:$D$34),--(E5&lt;$E$3:$E$34))+SUMPRODUCT(--($C$3:$C$34=$C5),--(D5=$D$3:$D$34),--(E5=$E$3:$E$34),--(F5&gt;$F$3:$F$34)),IF(NOT(ISBLANK(G5)),RANK(G5, $G$3:$G$34, 1),""))</f>
        <v/>
      </c>
      <c r="C5" s="9" t="str">
        <f>IF(NOT(ISBLANK($H5)), IF(($H5+$J5)&gt;$I5,1,0) +IF(($M5+$O5)&gt;$N5,1,0)+IF(($R5+$T5)&gt;$S5,1,0), "")</f>
        <v/>
      </c>
      <c r="D5" s="10" t="str">
        <f>IF(NOT(ISBLANK($H5)),MIN($H5,$J$1*1.5)+IF(NOT(ISBLANK($M5)),MIN($M5,$O$1*1.5),0)+IF(NOT(ISBLANK($R5)),MIN($R5,$T$1*1.5),0), "")</f>
        <v/>
      </c>
      <c r="E5" s="71" t="str">
        <f>IF(NOT(ISBLANK($H5)), MAX($H5 - $J$1*1.5, 0) + IF(NOT(ISBLANK($M5)), MAX($M5 - $O$1*1.5, 0))+ IF(NOT(ISBLANK($R5)), MAX($R5 - $T$1*1.5, 0)), "")</f>
        <v/>
      </c>
      <c r="F5" s="11" t="str">
        <f>IF(NOT(ISBLANK($I5)),$I5+IF(NOT(ISBLANK($N5)), $N5, 0)+IF(NOT(ISBLANK($S5)), $S5, 0), "")</f>
        <v/>
      </c>
      <c r="G5" s="37"/>
      <c r="H5" s="25"/>
      <c r="I5" s="25"/>
      <c r="J5" s="36"/>
      <c r="K5" s="8" t="str">
        <f>IF(ISBLANK(G5), "", G5)</f>
        <v/>
      </c>
      <c r="L5" s="37"/>
      <c r="M5" s="25"/>
      <c r="N5" s="25"/>
      <c r="O5" s="36"/>
      <c r="P5" s="8" t="str">
        <f>CONCATENATE(IF(NOT(ISBLANK(G5)), G5, ""),IF(NOT(ISBLANK(L5)), CONCATENATE(", ", L5), ""))</f>
        <v/>
      </c>
      <c r="Q5" s="37"/>
      <c r="R5" s="25"/>
      <c r="S5" s="25"/>
      <c r="T5" s="36"/>
      <c r="U5" s="43"/>
      <c r="V5" s="44"/>
      <c r="W5" s="3" t="b">
        <f t="shared" si="0"/>
        <v>0</v>
      </c>
      <c r="X5" s="3" t="b">
        <f t="shared" si="1"/>
        <v>0</v>
      </c>
      <c r="Y5" s="3" t="b">
        <f t="shared" si="2"/>
        <v>0</v>
      </c>
      <c r="Z5" s="29">
        <f>SUMPRODUCT(1/COUNTIF(AA5:AD5, AA5:AD5))</f>
        <v>1</v>
      </c>
      <c r="AA5" s="29">
        <f>G5</f>
        <v>0</v>
      </c>
      <c r="AB5" s="29">
        <f>L5</f>
        <v>0</v>
      </c>
      <c r="AC5" s="29">
        <f>G6</f>
        <v>0</v>
      </c>
      <c r="AD5" s="29">
        <f>L6</f>
        <v>0</v>
      </c>
    </row>
    <row r="6" spans="1:30" ht="20.45" customHeight="1" x14ac:dyDescent="0.3">
      <c r="A6" s="26"/>
      <c r="B6" s="8" t="str">
        <f>IF(NOT(ISBLANK($H6)),RANK(C6,$C$3:$C$34)+SUMPRODUCT(--($C$3:$C$34=$C6),--(D6&lt;$D$3:$D$34))+SUMPRODUCT(--($C$3:$C$34=$C6),--(D6=$D$3:$D$34),--(E6&lt;$E$3:$E$34))+SUMPRODUCT(--($C$3:$C$34=$C6),--(D6=$D$3:$D$34),--(E6=$E$3:$E$34),--(F6&gt;$F$3:$F$34)),IF(NOT(ISBLANK(G6)),RANK(G6, $G$3:$G$34, 1),""))</f>
        <v/>
      </c>
      <c r="C6" s="9" t="str">
        <f>IF(NOT(ISBLANK($H6)), IF(($H6+$J6)&gt;$I6,1,0) +IF(($M6+$O6)&gt;$N6,1,0)+IF(($R6+$T6)&gt;$S6,1,0), "")</f>
        <v/>
      </c>
      <c r="D6" s="10" t="str">
        <f>IF(NOT(ISBLANK($H6)),MIN($H6,$J$1*1.5)+IF(NOT(ISBLANK($M6)),MIN($M6,$O$1*1.5),0)+IF(NOT(ISBLANK($R6)),MIN($R6,$T$1*1.5),0), "")</f>
        <v/>
      </c>
      <c r="E6" s="71" t="str">
        <f>IF(NOT(ISBLANK($H6)), MAX($H6 - $J$1*1.5, 0) + IF(NOT(ISBLANK($M6)), MAX($M6 - $O$1*1.5, 0))+ IF(NOT(ISBLANK($R6)), MAX($R6 - $T$1*1.5, 0)), "")</f>
        <v/>
      </c>
      <c r="F6" s="11" t="str">
        <f>IF(NOT(ISBLANK($I6)),$I6+IF(NOT(ISBLANK($N6)), $N6, 0)+IF(NOT(ISBLANK($S6)), $S6, 0), "")</f>
        <v/>
      </c>
      <c r="G6" s="37"/>
      <c r="H6" s="25"/>
      <c r="I6" s="25"/>
      <c r="J6" s="36"/>
      <c r="K6" s="8" t="str">
        <f>IF(ISBLANK(G6), "", G6)</f>
        <v/>
      </c>
      <c r="L6" s="37"/>
      <c r="M6" s="25"/>
      <c r="N6" s="25"/>
      <c r="O6" s="36"/>
      <c r="P6" s="8" t="str">
        <f>CONCATENATE(IF(NOT(ISBLANK(G6)), G6, ""),IF(NOT(ISBLANK(L6)), CONCATENATE(", ", L6), ""))</f>
        <v/>
      </c>
      <c r="Q6" s="37"/>
      <c r="R6" s="25"/>
      <c r="S6" s="25"/>
      <c r="T6" s="36"/>
      <c r="U6" s="43"/>
      <c r="V6" s="44"/>
      <c r="W6" s="3" t="b">
        <f t="shared" si="0"/>
        <v>0</v>
      </c>
      <c r="X6" s="3" t="b">
        <f t="shared" si="1"/>
        <v>0</v>
      </c>
      <c r="Y6" s="3" t="b">
        <f t="shared" si="2"/>
        <v>0</v>
      </c>
      <c r="Z6" s="29">
        <f>Z5</f>
        <v>1</v>
      </c>
    </row>
    <row r="7" spans="1:30" ht="20.45" customHeight="1" x14ac:dyDescent="0.3">
      <c r="A7" s="26"/>
      <c r="B7" s="8" t="str">
        <f>IF(NOT(ISBLANK($H7)),RANK(C7,$C$3:$C$34)+SUMPRODUCT(--($C$3:$C$34=$C7),--(D7&lt;$D$3:$D$34))+SUMPRODUCT(--($C$3:$C$34=$C7),--(D7=$D$3:$D$34),--(E7&lt;$E$3:$E$34))+SUMPRODUCT(--($C$3:$C$34=$C7),--(D7=$D$3:$D$34),--(E7=$E$3:$E$34),--(F7&gt;$F$3:$F$34)),IF(NOT(ISBLANK(G7)),RANK(G7, $G$3:$G$34, 1),""))</f>
        <v/>
      </c>
      <c r="C7" s="9" t="str">
        <f>IF(NOT(ISBLANK($H7)), IF(($H7+$J7)&gt;$I7,1,0) +IF(($M7+$O7)&gt;$N7,1,0)+IF(($R7+$T7)&gt;$S7,1,0), "")</f>
        <v/>
      </c>
      <c r="D7" s="10" t="str">
        <f>IF(NOT(ISBLANK($H7)),MIN($H7,$J$1*1.5)+IF(NOT(ISBLANK($M7)),MIN($M7,$O$1*1.5),0)+IF(NOT(ISBLANK($R7)),MIN($R7,$T$1*1.5),0), "")</f>
        <v/>
      </c>
      <c r="E7" s="71" t="str">
        <f>IF(NOT(ISBLANK($H7)), MAX($H7 - $J$1*1.5, 0) + IF(NOT(ISBLANK($M7)), MAX($M7 - $O$1*1.5, 0))+ IF(NOT(ISBLANK($R7)), MAX($R7 - $T$1*1.5, 0)), "")</f>
        <v/>
      </c>
      <c r="F7" s="11" t="str">
        <f>IF(NOT(ISBLANK($I7)),$I7+IF(NOT(ISBLANK($N7)), $N7, 0)+IF(NOT(ISBLANK($S7)), $S7, 0), "")</f>
        <v/>
      </c>
      <c r="G7" s="35"/>
      <c r="H7" s="25"/>
      <c r="I7" s="25"/>
      <c r="J7" s="36"/>
      <c r="K7" s="8" t="str">
        <f>IF(ISBLANK(G7), "", G7)</f>
        <v/>
      </c>
      <c r="L7" s="37"/>
      <c r="M7" s="25"/>
      <c r="N7" s="25"/>
      <c r="O7" s="36"/>
      <c r="P7" s="8" t="str">
        <f>CONCATENATE(IF(NOT(ISBLANK(G7)), G7, ""),IF(NOT(ISBLANK(L7)), CONCATENATE(", ", L7), ""))</f>
        <v/>
      </c>
      <c r="Q7" s="37"/>
      <c r="R7" s="25"/>
      <c r="S7" s="25"/>
      <c r="T7" s="36"/>
      <c r="U7" s="43"/>
      <c r="V7" s="44"/>
      <c r="W7" s="3" t="b">
        <f t="shared" si="0"/>
        <v>0</v>
      </c>
      <c r="X7" s="3" t="b">
        <f t="shared" si="1"/>
        <v>0</v>
      </c>
      <c r="Y7" s="3" t="b">
        <f t="shared" si="2"/>
        <v>0</v>
      </c>
      <c r="Z7" s="29">
        <f>SUMPRODUCT(1/COUNTIF(AA7:AD7, AA7:AD7))</f>
        <v>1</v>
      </c>
      <c r="AA7" s="29">
        <f>G7</f>
        <v>0</v>
      </c>
      <c r="AB7" s="29">
        <f>L7</f>
        <v>0</v>
      </c>
      <c r="AC7" s="29">
        <f>G8</f>
        <v>0</v>
      </c>
      <c r="AD7" s="29">
        <f>L8</f>
        <v>0</v>
      </c>
    </row>
    <row r="8" spans="1:30" ht="20.45" customHeight="1" x14ac:dyDescent="0.3">
      <c r="A8" s="26"/>
      <c r="B8" s="8" t="str">
        <f>IF(NOT(ISBLANK($H8)),RANK(C8,$C$3:$C$34)+SUMPRODUCT(--($C$3:$C$34=$C8),--(D8&lt;$D$3:$D$34))+SUMPRODUCT(--($C$3:$C$34=$C8),--(D8=$D$3:$D$34),--(E8&lt;$E$3:$E$34))+SUMPRODUCT(--($C$3:$C$34=$C8),--(D8=$D$3:$D$34),--(E8=$E$3:$E$34),--(F8&gt;$F$3:$F$34)),IF(NOT(ISBLANK(G8)),RANK(G8, $G$3:$G$34, 1),""))</f>
        <v/>
      </c>
      <c r="C8" s="9" t="str">
        <f>IF(NOT(ISBLANK($H8)), IF(($H8+$J8)&gt;$I8,1,0) +IF(($M8+$O8)&gt;$N8,1,0)+IF(($R8+$T8)&gt;$S8,1,0), "")</f>
        <v/>
      </c>
      <c r="D8" s="10" t="str">
        <f>IF(NOT(ISBLANK($H8)),MIN($H8,$J$1*1.5)+IF(NOT(ISBLANK($M8)),MIN($M8,$O$1*1.5),0)+IF(NOT(ISBLANK($R8)),MIN($R8,$T$1*1.5),0), "")</f>
        <v/>
      </c>
      <c r="E8" s="71" t="str">
        <f>IF(NOT(ISBLANK($H8)), MAX($H8 - $J$1*1.5, 0) + IF(NOT(ISBLANK($M8)), MAX($M8 - $O$1*1.5, 0))+ IF(NOT(ISBLANK($R8)), MAX($R8 - $T$1*1.5, 0)), "")</f>
        <v/>
      </c>
      <c r="F8" s="11" t="str">
        <f>IF(NOT(ISBLANK($I8)),$I8+IF(NOT(ISBLANK($N8)), $N8, 0)+IF(NOT(ISBLANK($S8)), $S8, 0), "")</f>
        <v/>
      </c>
      <c r="G8" s="35"/>
      <c r="H8" s="25"/>
      <c r="I8" s="25"/>
      <c r="J8" s="36"/>
      <c r="K8" s="8" t="str">
        <f>IF(ISBLANK(G8), "", G8)</f>
        <v/>
      </c>
      <c r="L8" s="37"/>
      <c r="M8" s="25"/>
      <c r="N8" s="25"/>
      <c r="O8" s="36"/>
      <c r="P8" s="8" t="str">
        <f>CONCATENATE(IF(NOT(ISBLANK(G8)), G8, ""),IF(NOT(ISBLANK(L8)), CONCATENATE(", ", L8), ""))</f>
        <v/>
      </c>
      <c r="Q8" s="37"/>
      <c r="R8" s="25"/>
      <c r="S8" s="25"/>
      <c r="T8" s="36"/>
      <c r="U8" s="43"/>
      <c r="V8" s="44"/>
      <c r="W8" s="3" t="b">
        <f t="shared" si="0"/>
        <v>0</v>
      </c>
      <c r="X8" s="3" t="b">
        <f t="shared" si="1"/>
        <v>0</v>
      </c>
      <c r="Y8" s="3" t="b">
        <f t="shared" si="2"/>
        <v>0</v>
      </c>
      <c r="Z8" s="29">
        <f>Z7</f>
        <v>1</v>
      </c>
    </row>
    <row r="9" spans="1:30" ht="20.45" customHeight="1" x14ac:dyDescent="0.3">
      <c r="A9" s="26"/>
      <c r="B9" s="8" t="str">
        <f>IF(NOT(ISBLANK($H9)),RANK(C9,$C$3:$C$34)+SUMPRODUCT(--($C$3:$C$34=$C9),--(D9&lt;$D$3:$D$34))+SUMPRODUCT(--($C$3:$C$34=$C9),--(D9=$D$3:$D$34),--(E9&lt;$E$3:$E$34))+SUMPRODUCT(--($C$3:$C$34=$C9),--(D9=$D$3:$D$34),--(E9=$E$3:$E$34),--(F9&gt;$F$3:$F$34)),IF(NOT(ISBLANK(G9)),RANK(G9, $G$3:$G$34, 1),""))</f>
        <v/>
      </c>
      <c r="C9" s="9" t="str">
        <f>IF(NOT(ISBLANK($H9)), IF(($H9+$J9)&gt;$I9,1,0) +IF(($M9+$O9)&gt;$N9,1,0)+IF(($R9+$T9)&gt;$S9,1,0), "")</f>
        <v/>
      </c>
      <c r="D9" s="10" t="str">
        <f>IF(NOT(ISBLANK($H9)),MIN($H9,$J$1*1.5)+IF(NOT(ISBLANK($M9)),MIN($M9,$O$1*1.5),0)+IF(NOT(ISBLANK($R9)),MIN($R9,$T$1*1.5),0), "")</f>
        <v/>
      </c>
      <c r="E9" s="71" t="str">
        <f>IF(NOT(ISBLANK($H9)), MAX($H9 - $J$1*1.5, 0) + IF(NOT(ISBLANK($M9)), MAX($M9 - $O$1*1.5, 0))+ IF(NOT(ISBLANK($R9)), MAX($R9 - $T$1*1.5, 0)), "")</f>
        <v/>
      </c>
      <c r="F9" s="11" t="str">
        <f>IF(NOT(ISBLANK($I9)),$I9+IF(NOT(ISBLANK($N9)), $N9, 0)+IF(NOT(ISBLANK($S9)), $S9, 0), "")</f>
        <v/>
      </c>
      <c r="G9" s="37"/>
      <c r="H9" s="25"/>
      <c r="I9" s="25"/>
      <c r="J9" s="36"/>
      <c r="K9" s="8" t="str">
        <f>IF(ISBLANK(G9), "", G9)</f>
        <v/>
      </c>
      <c r="L9" s="37"/>
      <c r="M9" s="25"/>
      <c r="N9" s="25"/>
      <c r="O9" s="36"/>
      <c r="P9" s="8" t="str">
        <f>CONCATENATE(IF(NOT(ISBLANK(G9)), G9, ""),IF(NOT(ISBLANK(L9)), CONCATENATE(", ", L9), ""))</f>
        <v/>
      </c>
      <c r="Q9" s="37"/>
      <c r="R9" s="25"/>
      <c r="S9" s="25"/>
      <c r="T9" s="36"/>
      <c r="U9" s="43"/>
      <c r="V9" s="44"/>
      <c r="W9" s="3" t="b">
        <f t="shared" si="0"/>
        <v>0</v>
      </c>
      <c r="X9" s="3" t="b">
        <f t="shared" si="1"/>
        <v>0</v>
      </c>
      <c r="Y9" s="3" t="b">
        <f t="shared" si="2"/>
        <v>0</v>
      </c>
      <c r="Z9" s="29">
        <f>SUMPRODUCT(1/COUNTIF(AA9:AD9, AA9:AD9))</f>
        <v>1</v>
      </c>
      <c r="AA9" s="29">
        <f>G9</f>
        <v>0</v>
      </c>
      <c r="AB9" s="29">
        <f>L9</f>
        <v>0</v>
      </c>
      <c r="AC9" s="29">
        <f>G10</f>
        <v>0</v>
      </c>
      <c r="AD9" s="29">
        <f>L10</f>
        <v>0</v>
      </c>
    </row>
    <row r="10" spans="1:30" ht="20.45" customHeight="1" x14ac:dyDescent="0.3">
      <c r="A10" s="26"/>
      <c r="B10" s="8" t="str">
        <f>IF(NOT(ISBLANK($H10)),RANK(C10,$C$3:$C$34)+SUMPRODUCT(--($C$3:$C$34=$C10),--(D10&lt;$D$3:$D$34))+SUMPRODUCT(--($C$3:$C$34=$C10),--(D10=$D$3:$D$34),--(E10&lt;$E$3:$E$34))+SUMPRODUCT(--($C$3:$C$34=$C10),--(D10=$D$3:$D$34),--(E10=$E$3:$E$34),--(F10&gt;$F$3:$F$34)),IF(NOT(ISBLANK(G10)),RANK(G10, $G$3:$G$34, 1),""))</f>
        <v/>
      </c>
      <c r="C10" s="9" t="str">
        <f>IF(NOT(ISBLANK($H10)), IF(($H10+$J10)&gt;$I10,1,0) +IF(($M10+$O10)&gt;$N10,1,0)+IF(($R10+$T10)&gt;$S10,1,0), "")</f>
        <v/>
      </c>
      <c r="D10" s="10" t="str">
        <f>IF(NOT(ISBLANK($H10)),MIN($H10,$J$1*1.5)+IF(NOT(ISBLANK($M10)),MIN($M10,$O$1*1.5),0)+IF(NOT(ISBLANK($R10)),MIN($R10,$T$1*1.5),0), "")</f>
        <v/>
      </c>
      <c r="E10" s="71" t="str">
        <f>IF(NOT(ISBLANK($H10)), MAX($H10 - $J$1*1.5, 0) + IF(NOT(ISBLANK($M10)), MAX($M10 - $O$1*1.5, 0))+ IF(NOT(ISBLANK($R10)), MAX($R10 - $T$1*1.5, 0)), "")</f>
        <v/>
      </c>
      <c r="F10" s="11" t="str">
        <f>IF(NOT(ISBLANK($I10)),$I10+IF(NOT(ISBLANK($N10)), $N10, 0)+IF(NOT(ISBLANK($S10)), $S10, 0), "")</f>
        <v/>
      </c>
      <c r="G10" s="37"/>
      <c r="H10" s="25"/>
      <c r="I10" s="25"/>
      <c r="J10" s="36"/>
      <c r="K10" s="8" t="str">
        <f>IF(ISBLANK(G10), "", G10)</f>
        <v/>
      </c>
      <c r="L10" s="37"/>
      <c r="M10" s="25"/>
      <c r="N10" s="25"/>
      <c r="O10" s="36"/>
      <c r="P10" s="8" t="str">
        <f>CONCATENATE(IF(NOT(ISBLANK(G10)), G10, ""),IF(NOT(ISBLANK(L10)), CONCATENATE(", ", L10), ""))</f>
        <v/>
      </c>
      <c r="Q10" s="37"/>
      <c r="R10" s="25"/>
      <c r="S10" s="25"/>
      <c r="T10" s="36"/>
      <c r="U10" s="43"/>
      <c r="V10" s="44"/>
      <c r="W10" s="3" t="b">
        <f t="shared" si="0"/>
        <v>0</v>
      </c>
      <c r="X10" s="3" t="b">
        <f t="shared" si="1"/>
        <v>0</v>
      </c>
      <c r="Y10" s="3" t="b">
        <f t="shared" si="2"/>
        <v>0</v>
      </c>
      <c r="Z10" s="29">
        <f>Z9</f>
        <v>1</v>
      </c>
    </row>
    <row r="11" spans="1:30" ht="20.45" customHeight="1" x14ac:dyDescent="0.3">
      <c r="A11" s="26"/>
      <c r="B11" s="8" t="str">
        <f>IF(NOT(ISBLANK($H11)),RANK(C11,$C$3:$C$34)+SUMPRODUCT(--($C$3:$C$34=$C11),--(D11&lt;$D$3:$D$34))+SUMPRODUCT(--($C$3:$C$34=$C11),--(D11=$D$3:$D$34),--(E11&lt;$E$3:$E$34))+SUMPRODUCT(--($C$3:$C$34=$C11),--(D11=$D$3:$D$34),--(E11=$E$3:$E$34),--(F11&gt;$F$3:$F$34)),IF(NOT(ISBLANK(G11)),RANK(G11, $G$3:$G$34, 1),""))</f>
        <v/>
      </c>
      <c r="C11" s="9" t="str">
        <f>IF(NOT(ISBLANK($H11)), IF(($H11+$J11)&gt;$I11,1,0) +IF(($M11+$O11)&gt;$N11,1,0)+IF(($R11+$T11)&gt;$S11,1,0), "")</f>
        <v/>
      </c>
      <c r="D11" s="10" t="str">
        <f>IF(NOT(ISBLANK($H11)),MIN($H11,$J$1*1.5)+IF(NOT(ISBLANK($M11)),MIN($M11,$O$1*1.5),0)+IF(NOT(ISBLANK($R11)),MIN($R11,$T$1*1.5),0), "")</f>
        <v/>
      </c>
      <c r="E11" s="71" t="str">
        <f>IF(NOT(ISBLANK($H11)), MAX($H11 - $J$1*1.5, 0) + IF(NOT(ISBLANK($M11)), MAX($M11 - $O$1*1.5, 0))+ IF(NOT(ISBLANK($R11)), MAX($R11 - $T$1*1.5, 0)), "")</f>
        <v/>
      </c>
      <c r="F11" s="11" t="str">
        <f>IF(NOT(ISBLANK($I11)),$I11+IF(NOT(ISBLANK($N11)), $N11, 0)+IF(NOT(ISBLANK($S11)), $S11, 0), "")</f>
        <v/>
      </c>
      <c r="G11" s="35"/>
      <c r="H11" s="25"/>
      <c r="I11" s="25"/>
      <c r="J11" s="36"/>
      <c r="K11" s="8" t="str">
        <f>IF(ISBLANK(G11), "", G11)</f>
        <v/>
      </c>
      <c r="L11" s="37"/>
      <c r="M11" s="25"/>
      <c r="N11" s="25"/>
      <c r="O11" s="36"/>
      <c r="P11" s="8" t="str">
        <f>CONCATENATE(IF(NOT(ISBLANK(G11)), G11, ""),IF(NOT(ISBLANK(L11)), CONCATENATE(", ", L11), ""))</f>
        <v/>
      </c>
      <c r="Q11" s="37"/>
      <c r="R11" s="25"/>
      <c r="S11" s="25"/>
      <c r="T11" s="36"/>
      <c r="U11" s="43"/>
      <c r="V11" s="44"/>
      <c r="W11" s="3" t="b">
        <f t="shared" si="0"/>
        <v>0</v>
      </c>
      <c r="X11" s="3" t="b">
        <f t="shared" si="1"/>
        <v>0</v>
      </c>
      <c r="Y11" s="3" t="b">
        <f t="shared" si="2"/>
        <v>0</v>
      </c>
      <c r="Z11" s="29">
        <f>SUMPRODUCT(1/COUNTIF(AA11:AD11, AA11:AD11))</f>
        <v>1</v>
      </c>
      <c r="AA11" s="29">
        <f>G11</f>
        <v>0</v>
      </c>
      <c r="AB11" s="29">
        <f>L11</f>
        <v>0</v>
      </c>
      <c r="AC11" s="29">
        <f>G12</f>
        <v>0</v>
      </c>
      <c r="AD11" s="29">
        <f>L12</f>
        <v>0</v>
      </c>
    </row>
    <row r="12" spans="1:30" ht="20.45" customHeight="1" x14ac:dyDescent="0.3">
      <c r="A12" s="26"/>
      <c r="B12" s="8" t="str">
        <f>IF(NOT(ISBLANK($H12)),RANK(C12,$C$3:$C$34)+SUMPRODUCT(--($C$3:$C$34=$C12),--(D12&lt;$D$3:$D$34))+SUMPRODUCT(--($C$3:$C$34=$C12),--(D12=$D$3:$D$34),--(E12&lt;$E$3:$E$34))+SUMPRODUCT(--($C$3:$C$34=$C12),--(D12=$D$3:$D$34),--(E12=$E$3:$E$34),--(F12&gt;$F$3:$F$34)),IF(NOT(ISBLANK(G12)),RANK(G12, $G$3:$G$34, 1),""))</f>
        <v/>
      </c>
      <c r="C12" s="9" t="str">
        <f>IF(NOT(ISBLANK($H12)), IF(($H12+$J12)&gt;$I12,1,0) +IF(($M12+$O12)&gt;$N12,1,0)+IF(($R12+$T12)&gt;$S12,1,0), "")</f>
        <v/>
      </c>
      <c r="D12" s="10" t="str">
        <f>IF(NOT(ISBLANK($H12)),MIN($H12,$J$1*1.5)+IF(NOT(ISBLANK($M12)),MIN($M12,$O$1*1.5),0)+IF(NOT(ISBLANK($R12)),MIN($R12,$T$1*1.5),0), "")</f>
        <v/>
      </c>
      <c r="E12" s="71" t="str">
        <f>IF(NOT(ISBLANK($H12)), MAX($H12 - $J$1*1.5, 0) + IF(NOT(ISBLANK($M12)), MAX($M12 - $O$1*1.5, 0))+ IF(NOT(ISBLANK($R12)), MAX($R12 - $T$1*1.5, 0)), "")</f>
        <v/>
      </c>
      <c r="F12" s="11" t="str">
        <f>IF(NOT(ISBLANK($I12)),$I12+IF(NOT(ISBLANK($N12)), $N12, 0)+IF(NOT(ISBLANK($S12)), $S12, 0), "")</f>
        <v/>
      </c>
      <c r="G12" s="35"/>
      <c r="H12" s="25"/>
      <c r="I12" s="25"/>
      <c r="J12" s="36"/>
      <c r="K12" s="8" t="str">
        <f>IF(ISBLANK(G12), "", G12)</f>
        <v/>
      </c>
      <c r="L12" s="37"/>
      <c r="M12" s="25"/>
      <c r="N12" s="25"/>
      <c r="O12" s="36"/>
      <c r="P12" s="8" t="str">
        <f>CONCATENATE(IF(NOT(ISBLANK(G12)), G12, ""),IF(NOT(ISBLANK(L12)), CONCATENATE(", ", L12), ""))</f>
        <v/>
      </c>
      <c r="Q12" s="37"/>
      <c r="R12" s="25"/>
      <c r="S12" s="25"/>
      <c r="T12" s="36"/>
      <c r="U12" s="43"/>
      <c r="V12" s="44"/>
      <c r="W12" s="3" t="b">
        <f>AND(L12=G12,NOT(ISBLANK(L12)),NOT(ISBLANK(G12)))</f>
        <v>0</v>
      </c>
      <c r="X12" s="3" t="b">
        <f>AND(OR(Q12=L12,Q12=G12),NOT(ISBLANK(Q12)))</f>
        <v>0</v>
      </c>
      <c r="Y12" s="3" t="b">
        <f t="shared" si="2"/>
        <v>0</v>
      </c>
      <c r="Z12" s="29">
        <f>Z11</f>
        <v>1</v>
      </c>
    </row>
    <row r="13" spans="1:30" ht="20.45" customHeight="1" x14ac:dyDescent="0.3">
      <c r="A13" s="26"/>
      <c r="B13" s="8" t="str">
        <f>IF(NOT(ISBLANK($H13)),RANK(C13,$C$3:$C$34)+SUMPRODUCT(--($C$3:$C$34=$C13),--(D13&lt;$D$3:$D$34))+SUMPRODUCT(--($C$3:$C$34=$C13),--(D13=$D$3:$D$34),--(E13&lt;$E$3:$E$34))+SUMPRODUCT(--($C$3:$C$34=$C13),--(D13=$D$3:$D$34),--(E13=$E$3:$E$34),--(F13&gt;$F$3:$F$34)),IF(NOT(ISBLANK(G13)),RANK(G13, $G$3:$G$34, 1),""))</f>
        <v/>
      </c>
      <c r="C13" s="9" t="str">
        <f>IF(NOT(ISBLANK($H13)), IF(($H13+$J13)&gt;$I13,1,0) +IF(($M13+$O13)&gt;$N13,1,0)+IF(($R13+$T13)&gt;$S13,1,0), "")</f>
        <v/>
      </c>
      <c r="D13" s="10" t="str">
        <f>IF(NOT(ISBLANK($H13)),MIN($H13,$J$1*1.5)+IF(NOT(ISBLANK($M13)),MIN($M13,$O$1*1.5),0)+IF(NOT(ISBLANK($R13)),MIN($R13,$T$1*1.5),0), "")</f>
        <v/>
      </c>
      <c r="E13" s="71" t="str">
        <f>IF(NOT(ISBLANK($H13)), MAX($H13 - $J$1*1.5, 0) + IF(NOT(ISBLANK($M13)), MAX($M13 - $O$1*1.5, 0))+ IF(NOT(ISBLANK($R13)), MAX($R13 - $T$1*1.5, 0)), "")</f>
        <v/>
      </c>
      <c r="F13" s="11" t="str">
        <f>IF(NOT(ISBLANK($I13)),$I13+IF(NOT(ISBLANK($N13)), $N13, 0)+IF(NOT(ISBLANK($S13)), $S13, 0), "")</f>
        <v/>
      </c>
      <c r="G13" s="37"/>
      <c r="H13" s="25"/>
      <c r="I13" s="25"/>
      <c r="J13" s="36"/>
      <c r="K13" s="8" t="str">
        <f>IF(ISBLANK(G13), "", G13)</f>
        <v/>
      </c>
      <c r="L13" s="37"/>
      <c r="M13" s="25"/>
      <c r="N13" s="25"/>
      <c r="O13" s="36"/>
      <c r="P13" s="8" t="str">
        <f>CONCATENATE(IF(NOT(ISBLANK(G13)), G13, ""),IF(NOT(ISBLANK(L13)), CONCATENATE(", ", L13), ""))</f>
        <v/>
      </c>
      <c r="Q13" s="37"/>
      <c r="R13" s="25"/>
      <c r="S13" s="25"/>
      <c r="T13" s="36"/>
      <c r="U13" s="43"/>
      <c r="V13" s="44"/>
      <c r="W13" s="3" t="b">
        <f t="shared" si="0"/>
        <v>0</v>
      </c>
      <c r="X13" s="3" t="b">
        <f t="shared" si="1"/>
        <v>0</v>
      </c>
      <c r="Y13" s="3" t="b">
        <f t="shared" si="2"/>
        <v>0</v>
      </c>
      <c r="Z13" s="29">
        <f>SUMPRODUCT(1/COUNTIF(AA13:AD13, AA13:AD13))</f>
        <v>1</v>
      </c>
      <c r="AA13" s="29">
        <f>G13</f>
        <v>0</v>
      </c>
      <c r="AB13" s="29">
        <f>L13</f>
        <v>0</v>
      </c>
      <c r="AC13" s="29">
        <f>G14</f>
        <v>0</v>
      </c>
      <c r="AD13" s="29">
        <f>L14</f>
        <v>0</v>
      </c>
    </row>
    <row r="14" spans="1:30" ht="20.45" customHeight="1" x14ac:dyDescent="0.3">
      <c r="A14" s="26"/>
      <c r="B14" s="8" t="str">
        <f>IF(NOT(ISBLANK($H14)),RANK(C14,$C$3:$C$34)+SUMPRODUCT(--($C$3:$C$34=$C14),--(D14&lt;$D$3:$D$34))+SUMPRODUCT(--($C$3:$C$34=$C14),--(D14=$D$3:$D$34),--(E14&lt;$E$3:$E$34))+SUMPRODUCT(--($C$3:$C$34=$C14),--(D14=$D$3:$D$34),--(E14=$E$3:$E$34),--(F14&gt;$F$3:$F$34)),IF(NOT(ISBLANK(G14)),RANK(G14, $G$3:$G$34, 1),""))</f>
        <v/>
      </c>
      <c r="C14" s="9" t="str">
        <f>IF(NOT(ISBLANK($H14)), IF(($H14+$J14)&gt;$I14,1,0) +IF(($M14+$O14)&gt;$N14,1,0)+IF(($R14+$T14)&gt;$S14,1,0), "")</f>
        <v/>
      </c>
      <c r="D14" s="10" t="str">
        <f>IF(NOT(ISBLANK($H14)),MIN($H14,$J$1*1.5)+IF(NOT(ISBLANK($M14)),MIN($M14,$O$1*1.5),0)+IF(NOT(ISBLANK($R14)),MIN($R14,$T$1*1.5),0), "")</f>
        <v/>
      </c>
      <c r="E14" s="71" t="str">
        <f>IF(NOT(ISBLANK($H14)), MAX($H14 - $J$1*1.5, 0) + IF(NOT(ISBLANK($M14)), MAX($M14 - $O$1*1.5, 0))+ IF(NOT(ISBLANK($R14)), MAX($R14 - $T$1*1.5, 0)), "")</f>
        <v/>
      </c>
      <c r="F14" s="11" t="str">
        <f>IF(NOT(ISBLANK($I14)),$I14+IF(NOT(ISBLANK($N14)), $N14, 0)+IF(NOT(ISBLANK($S14)), $S14, 0), "")</f>
        <v/>
      </c>
      <c r="G14" s="37"/>
      <c r="H14" s="25"/>
      <c r="I14" s="25"/>
      <c r="J14" s="36"/>
      <c r="K14" s="8" t="str">
        <f>IF(ISBLANK(G14), "", G14)</f>
        <v/>
      </c>
      <c r="L14" s="37"/>
      <c r="M14" s="25"/>
      <c r="N14" s="25"/>
      <c r="O14" s="36"/>
      <c r="P14" s="8" t="str">
        <f>CONCATENATE(IF(NOT(ISBLANK(G14)), G14, ""),IF(NOT(ISBLANK(L14)), CONCATENATE(", ", L14), ""))</f>
        <v/>
      </c>
      <c r="Q14" s="37"/>
      <c r="R14" s="25"/>
      <c r="S14" s="25"/>
      <c r="T14" s="36"/>
      <c r="U14" s="43"/>
      <c r="V14" s="44"/>
      <c r="W14" s="3" t="b">
        <f t="shared" si="0"/>
        <v>0</v>
      </c>
      <c r="X14" s="3" t="b">
        <f t="shared" si="1"/>
        <v>0</v>
      </c>
      <c r="Y14" s="3" t="b">
        <f t="shared" si="2"/>
        <v>0</v>
      </c>
      <c r="Z14" s="29">
        <f>Z13</f>
        <v>1</v>
      </c>
    </row>
    <row r="15" spans="1:30" ht="20.45" customHeight="1" x14ac:dyDescent="0.3">
      <c r="A15" s="26"/>
      <c r="B15" s="8" t="str">
        <f>IF(NOT(ISBLANK($H15)),RANK(C15,$C$3:$C$34)+SUMPRODUCT(--($C$3:$C$34=$C15),--(D15&lt;$D$3:$D$34))+SUMPRODUCT(--($C$3:$C$34=$C15),--(D15=$D$3:$D$34),--(E15&lt;$E$3:$E$34))+SUMPRODUCT(--($C$3:$C$34=$C15),--(D15=$D$3:$D$34),--(E15=$E$3:$E$34),--(F15&gt;$F$3:$F$34)),IF(NOT(ISBLANK(G15)),RANK(G15, $G$3:$G$34, 1),""))</f>
        <v/>
      </c>
      <c r="C15" s="9" t="str">
        <f>IF(NOT(ISBLANK($H15)), IF(($H15+$J15)&gt;$I15,1,0) +IF(($M15+$O15)&gt;$N15,1,0)+IF(($R15+$T15)&gt;$S15,1,0), "")</f>
        <v/>
      </c>
      <c r="D15" s="10" t="str">
        <f>IF(NOT(ISBLANK($H15)),MIN($H15,$J$1*1.5)+IF(NOT(ISBLANK($M15)),MIN($M15,$O$1*1.5),0)+IF(NOT(ISBLANK($R15)),MIN($R15,$T$1*1.5),0), "")</f>
        <v/>
      </c>
      <c r="E15" s="71" t="str">
        <f>IF(NOT(ISBLANK($H15)), MAX($H15 - $J$1*1.5, 0) + IF(NOT(ISBLANK($M15)), MAX($M15 - $O$1*1.5, 0))+ IF(NOT(ISBLANK($R15)), MAX($R15 - $T$1*1.5, 0)), "")</f>
        <v/>
      </c>
      <c r="F15" s="11" t="str">
        <f>IF(NOT(ISBLANK($I15)),$I15+IF(NOT(ISBLANK($N15)), $N15, 0)+IF(NOT(ISBLANK($S15)), $S15, 0), "")</f>
        <v/>
      </c>
      <c r="G15" s="35"/>
      <c r="H15" s="25"/>
      <c r="I15" s="25"/>
      <c r="J15" s="36"/>
      <c r="K15" s="8" t="str">
        <f>IF(ISBLANK(G15), "", G15)</f>
        <v/>
      </c>
      <c r="L15" s="37"/>
      <c r="M15" s="25"/>
      <c r="N15" s="25"/>
      <c r="O15" s="36"/>
      <c r="P15" s="8" t="str">
        <f>CONCATENATE(IF(NOT(ISBLANK(G15)), G15, ""),IF(NOT(ISBLANK(L15)), CONCATENATE(", ", L15), ""))</f>
        <v/>
      </c>
      <c r="Q15" s="37"/>
      <c r="R15" s="25"/>
      <c r="S15" s="25"/>
      <c r="T15" s="36"/>
      <c r="U15" s="43"/>
      <c r="V15" s="44"/>
      <c r="W15" s="3" t="b">
        <f t="shared" si="0"/>
        <v>0</v>
      </c>
      <c r="X15" s="3" t="b">
        <f t="shared" si="1"/>
        <v>0</v>
      </c>
      <c r="Y15" s="3" t="b">
        <f t="shared" si="2"/>
        <v>0</v>
      </c>
      <c r="Z15" s="29">
        <f>SUMPRODUCT(1/COUNTIF(AA15:AD15, AA15:AD15))</f>
        <v>1</v>
      </c>
      <c r="AA15" s="29">
        <f>G15</f>
        <v>0</v>
      </c>
      <c r="AB15" s="29">
        <f>L15</f>
        <v>0</v>
      </c>
      <c r="AC15" s="29">
        <f>G16</f>
        <v>0</v>
      </c>
      <c r="AD15" s="29">
        <f>L16</f>
        <v>0</v>
      </c>
    </row>
    <row r="16" spans="1:30" ht="20.45" customHeight="1" x14ac:dyDescent="0.3">
      <c r="A16" s="26"/>
      <c r="B16" s="8" t="str">
        <f>IF(NOT(ISBLANK($H16)),RANK(C16,$C$3:$C$34)+SUMPRODUCT(--($C$3:$C$34=$C16),--(D16&lt;$D$3:$D$34))+SUMPRODUCT(--($C$3:$C$34=$C16),--(D16=$D$3:$D$34),--(E16&lt;$E$3:$E$34))+SUMPRODUCT(--($C$3:$C$34=$C16),--(D16=$D$3:$D$34),--(E16=$E$3:$E$34),--(F16&gt;$F$3:$F$34)),IF(NOT(ISBLANK(G16)),RANK(G16, $G$3:$G$34, 1),""))</f>
        <v/>
      </c>
      <c r="C16" s="9" t="str">
        <f>IF(NOT(ISBLANK($H16)), IF(($H16+$J16)&gt;$I16,1,0) +IF(($M16+$O16)&gt;$N16,1,0)+IF(($R16+$T16)&gt;$S16,1,0), "")</f>
        <v/>
      </c>
      <c r="D16" s="10" t="str">
        <f>IF(NOT(ISBLANK($H16)),MIN($H16,$J$1*1.5)+IF(NOT(ISBLANK($M16)),MIN($M16,$O$1*1.5),0)+IF(NOT(ISBLANK($R16)),MIN($R16,$T$1*1.5),0), "")</f>
        <v/>
      </c>
      <c r="E16" s="71" t="str">
        <f>IF(NOT(ISBLANK($H16)), MAX($H16 - $J$1*1.5, 0) + IF(NOT(ISBLANK($M16)), MAX($M16 - $O$1*1.5, 0))+ IF(NOT(ISBLANK($R16)), MAX($R16 - $T$1*1.5, 0)), "")</f>
        <v/>
      </c>
      <c r="F16" s="11" t="str">
        <f>IF(NOT(ISBLANK($I16)),$I16+IF(NOT(ISBLANK($N16)), $N16, 0)+IF(NOT(ISBLANK($S16)), $S16, 0), "")</f>
        <v/>
      </c>
      <c r="G16" s="35"/>
      <c r="H16" s="25"/>
      <c r="I16" s="25"/>
      <c r="J16" s="36"/>
      <c r="K16" s="8" t="str">
        <f>IF(ISBLANK(G16), "", G16)</f>
        <v/>
      </c>
      <c r="L16" s="37"/>
      <c r="M16" s="25"/>
      <c r="N16" s="25"/>
      <c r="O16" s="36"/>
      <c r="P16" s="8" t="str">
        <f>CONCATENATE(IF(NOT(ISBLANK(G16)), G16, ""),IF(NOT(ISBLANK(L16)), CONCATENATE(", ", L16), ""))</f>
        <v/>
      </c>
      <c r="Q16" s="37"/>
      <c r="R16" s="25"/>
      <c r="S16" s="25"/>
      <c r="T16" s="36"/>
      <c r="U16" s="43"/>
      <c r="V16" s="44"/>
      <c r="W16" s="3" t="b">
        <f t="shared" si="0"/>
        <v>0</v>
      </c>
      <c r="X16" s="3" t="b">
        <f t="shared" si="1"/>
        <v>0</v>
      </c>
      <c r="Y16" s="3" t="b">
        <f t="shared" si="2"/>
        <v>0</v>
      </c>
      <c r="Z16" s="29">
        <f>Z15</f>
        <v>1</v>
      </c>
    </row>
    <row r="17" spans="1:30" ht="20.45" customHeight="1" x14ac:dyDescent="0.3">
      <c r="A17" s="26"/>
      <c r="B17" s="8" t="str">
        <f>IF(NOT(ISBLANK($H17)),RANK(C17,$C$3:$C$34)+SUMPRODUCT(--($C$3:$C$34=$C17),--(D17&lt;$D$3:$D$34))+SUMPRODUCT(--($C$3:$C$34=$C17),--(D17=$D$3:$D$34),--(E17&lt;$E$3:$E$34))+SUMPRODUCT(--($C$3:$C$34=$C17),--(D17=$D$3:$D$34),--(E17=$E$3:$E$34),--(F17&gt;$F$3:$F$34)),IF(NOT(ISBLANK(G17)),RANK(G17, $G$3:$G$34, 1),""))</f>
        <v/>
      </c>
      <c r="C17" s="9" t="str">
        <f>IF(NOT(ISBLANK($H17)), IF(($H17+$J17)&gt;$I17,1,0) +IF(($M17+$O17)&gt;$N17,1,0)+IF(($R17+$T17)&gt;$S17,1,0), "")</f>
        <v/>
      </c>
      <c r="D17" s="10" t="str">
        <f>IF(NOT(ISBLANK($H17)),MIN($H17,$J$1*1.5)+IF(NOT(ISBLANK($M17)),MIN($M17,$O$1*1.5),0)+IF(NOT(ISBLANK($R17)),MIN($R17,$T$1*1.5),0), "")</f>
        <v/>
      </c>
      <c r="E17" s="71" t="str">
        <f>IF(NOT(ISBLANK($H17)), MAX($H17 - $J$1*1.5, 0) + IF(NOT(ISBLANK($M17)), MAX($M17 - $O$1*1.5, 0))+ IF(NOT(ISBLANK($R17)), MAX($R17 - $T$1*1.5, 0)), "")</f>
        <v/>
      </c>
      <c r="F17" s="11" t="str">
        <f>IF(NOT(ISBLANK($I17)),$I17+IF(NOT(ISBLANK($N17)), $N17, 0)+IF(NOT(ISBLANK($S17)), $S17, 0), "")</f>
        <v/>
      </c>
      <c r="G17" s="37"/>
      <c r="H17" s="25"/>
      <c r="I17" s="25"/>
      <c r="J17" s="36"/>
      <c r="K17" s="8" t="str">
        <f>IF(ISBLANK(G17), "", G17)</f>
        <v/>
      </c>
      <c r="L17" s="37"/>
      <c r="M17" s="25"/>
      <c r="N17" s="25"/>
      <c r="O17" s="36"/>
      <c r="P17" s="8" t="str">
        <f>CONCATENATE(IF(NOT(ISBLANK(G17)), G17, ""),IF(NOT(ISBLANK(L17)), CONCATENATE(", ", L17), ""))</f>
        <v/>
      </c>
      <c r="Q17" s="37"/>
      <c r="R17" s="25"/>
      <c r="S17" s="25"/>
      <c r="T17" s="36"/>
      <c r="U17" s="43"/>
      <c r="V17" s="44"/>
      <c r="W17" s="3" t="b">
        <f t="shared" si="0"/>
        <v>0</v>
      </c>
      <c r="X17" s="3" t="b">
        <f t="shared" si="1"/>
        <v>0</v>
      </c>
      <c r="Y17" s="3" t="b">
        <f t="shared" si="2"/>
        <v>0</v>
      </c>
      <c r="Z17" s="29">
        <f>SUMPRODUCT(1/COUNTIF(AA17:AD17, AA17:AD17))</f>
        <v>1</v>
      </c>
      <c r="AA17" s="29">
        <f>G17</f>
        <v>0</v>
      </c>
      <c r="AB17" s="29">
        <f>L17</f>
        <v>0</v>
      </c>
      <c r="AC17" s="29">
        <f>G18</f>
        <v>0</v>
      </c>
      <c r="AD17" s="29">
        <f>L18</f>
        <v>0</v>
      </c>
    </row>
    <row r="18" spans="1:30" ht="20.45" customHeight="1" x14ac:dyDescent="0.3">
      <c r="A18" s="26"/>
      <c r="B18" s="8" t="str">
        <f>IF(NOT(ISBLANK($H18)),RANK(C18,$C$3:$C$34)+SUMPRODUCT(--($C$3:$C$34=$C18),--(D18&lt;$D$3:$D$34))+SUMPRODUCT(--($C$3:$C$34=$C18),--(D18=$D$3:$D$34),--(E18&lt;$E$3:$E$34))+SUMPRODUCT(--($C$3:$C$34=$C18),--(D18=$D$3:$D$34),--(E18=$E$3:$E$34),--(F18&gt;$F$3:$F$34)),IF(NOT(ISBLANK(G18)),RANK(G18, $G$3:$G$34, 1),""))</f>
        <v/>
      </c>
      <c r="C18" s="9" t="str">
        <f>IF(NOT(ISBLANK($H18)), IF(($H18+$J18)&gt;$I18,1,0) +IF(($M18+$O18)&gt;$N18,1,0)+IF(($R18+$T18)&gt;$S18,1,0), "")</f>
        <v/>
      </c>
      <c r="D18" s="10" t="str">
        <f>IF(NOT(ISBLANK($H18)),MIN($H18,$J$1*1.5)+IF(NOT(ISBLANK($M18)),MIN($M18,$O$1*1.5),0)+IF(NOT(ISBLANK($R18)),MIN($R18,$T$1*1.5),0), "")</f>
        <v/>
      </c>
      <c r="E18" s="71" t="str">
        <f>IF(NOT(ISBLANK($H18)), MAX($H18 - $J$1*1.5, 0) + IF(NOT(ISBLANK($M18)), MAX($M18 - $O$1*1.5, 0))+ IF(NOT(ISBLANK($R18)), MAX($R18 - $T$1*1.5, 0)), "")</f>
        <v/>
      </c>
      <c r="F18" s="11" t="str">
        <f>IF(NOT(ISBLANK($I18)),$I18+IF(NOT(ISBLANK($N18)), $N18, 0)+IF(NOT(ISBLANK($S18)), $S18, 0), "")</f>
        <v/>
      </c>
      <c r="G18" s="37"/>
      <c r="H18" s="25"/>
      <c r="I18" s="25"/>
      <c r="J18" s="36"/>
      <c r="K18" s="8" t="str">
        <f>IF(ISBLANK(G18), "", G18)</f>
        <v/>
      </c>
      <c r="L18" s="37"/>
      <c r="M18" s="25"/>
      <c r="N18" s="25"/>
      <c r="O18" s="36"/>
      <c r="P18" s="8" t="str">
        <f>CONCATENATE(IF(NOT(ISBLANK(G18)), G18, ""),IF(NOT(ISBLANK(L18)), CONCATENATE(", ", L18), ""))</f>
        <v/>
      </c>
      <c r="Q18" s="37"/>
      <c r="R18" s="25"/>
      <c r="S18" s="25"/>
      <c r="T18" s="36"/>
      <c r="U18" s="43"/>
      <c r="V18" s="44"/>
      <c r="W18" s="3" t="b">
        <f t="shared" si="0"/>
        <v>0</v>
      </c>
      <c r="X18" s="3" t="b">
        <f t="shared" si="1"/>
        <v>0</v>
      </c>
      <c r="Y18" s="3" t="b">
        <f t="shared" si="2"/>
        <v>0</v>
      </c>
      <c r="Z18" s="29">
        <f>Z17</f>
        <v>1</v>
      </c>
    </row>
    <row r="19" spans="1:30" ht="20.45" customHeight="1" x14ac:dyDescent="0.3">
      <c r="A19" s="26"/>
      <c r="B19" s="8" t="str">
        <f>IF(NOT(ISBLANK($H19)),RANK(C19,$C$3:$C$34)+SUMPRODUCT(--($C$3:$C$34=$C19),--(D19&lt;$D$3:$D$34))+SUMPRODUCT(--($C$3:$C$34=$C19),--(D19=$D$3:$D$34),--(E19&lt;$E$3:$E$34))+SUMPRODUCT(--($C$3:$C$34=$C19),--(D19=$D$3:$D$34),--(E19=$E$3:$E$34),--(F19&gt;$F$3:$F$34)),IF(NOT(ISBLANK(G19)),RANK(G19, $G$3:$G$34, 1),""))</f>
        <v/>
      </c>
      <c r="C19" s="9" t="str">
        <f>IF(NOT(ISBLANK($H19)), IF(($H19+$J19)&gt;$I19,1,0) +IF(($M19+$O19)&gt;$N19,1,0)+IF(($R19+$T19)&gt;$S19,1,0), "")</f>
        <v/>
      </c>
      <c r="D19" s="10" t="str">
        <f>IF(NOT(ISBLANK($H19)),MIN($H19,$J$1*1.5)+IF(NOT(ISBLANK($M19)),MIN($M19,$O$1*1.5),0)+IF(NOT(ISBLANK($R19)),MIN($R19,$T$1*1.5),0), "")</f>
        <v/>
      </c>
      <c r="E19" s="71" t="str">
        <f>IF(NOT(ISBLANK($H19)), MAX($H19 - $J$1*1.5, 0) + IF(NOT(ISBLANK($M19)), MAX($M19 - $O$1*1.5, 0))+ IF(NOT(ISBLANK($R19)), MAX($R19 - $T$1*1.5, 0)), "")</f>
        <v/>
      </c>
      <c r="F19" s="11" t="str">
        <f>IF(NOT(ISBLANK($I19)),$I19+IF(NOT(ISBLANK($N19)), $N19, 0)+IF(NOT(ISBLANK($S19)), $S19, 0), "")</f>
        <v/>
      </c>
      <c r="G19" s="35"/>
      <c r="H19" s="25"/>
      <c r="I19" s="25"/>
      <c r="J19" s="36"/>
      <c r="K19" s="8" t="str">
        <f>IF(ISBLANK(G19), "", G19)</f>
        <v/>
      </c>
      <c r="L19" s="37"/>
      <c r="M19" s="25"/>
      <c r="N19" s="25"/>
      <c r="O19" s="36"/>
      <c r="P19" s="8" t="str">
        <f>CONCATENATE(IF(NOT(ISBLANK(G19)), G19, ""),IF(NOT(ISBLANK(L19)), CONCATENATE(", ", L19), ""))</f>
        <v/>
      </c>
      <c r="Q19" s="37"/>
      <c r="R19" s="25"/>
      <c r="S19" s="25"/>
      <c r="T19" s="36"/>
      <c r="U19" s="43"/>
      <c r="V19" s="44"/>
      <c r="W19" s="3" t="b">
        <f t="shared" si="0"/>
        <v>0</v>
      </c>
      <c r="X19" s="3" t="b">
        <f t="shared" si="1"/>
        <v>0</v>
      </c>
      <c r="Y19" s="3" t="b">
        <f t="shared" si="2"/>
        <v>0</v>
      </c>
      <c r="Z19" s="29">
        <f>SUMPRODUCT(1/COUNTIF(AA19:AD19, AA19:AD19))</f>
        <v>1</v>
      </c>
      <c r="AA19" s="29">
        <f>G19</f>
        <v>0</v>
      </c>
      <c r="AB19" s="29">
        <f>L19</f>
        <v>0</v>
      </c>
      <c r="AC19" s="29">
        <f>G20</f>
        <v>0</v>
      </c>
      <c r="AD19" s="29">
        <f>L20</f>
        <v>0</v>
      </c>
    </row>
    <row r="20" spans="1:30" ht="20.45" customHeight="1" x14ac:dyDescent="0.3">
      <c r="A20" s="26"/>
      <c r="B20" s="8" t="str">
        <f>IF(NOT(ISBLANK($H20)),RANK(C20,$C$3:$C$34)+SUMPRODUCT(--($C$3:$C$34=$C20),--(D20&lt;$D$3:$D$34))+SUMPRODUCT(--($C$3:$C$34=$C20),--(D20=$D$3:$D$34),--(E20&lt;$E$3:$E$34))+SUMPRODUCT(--($C$3:$C$34=$C20),--(D20=$D$3:$D$34),--(E20=$E$3:$E$34),--(F20&gt;$F$3:$F$34)),IF(NOT(ISBLANK(G20)),RANK(G20, $G$3:$G$34, 1),""))</f>
        <v/>
      </c>
      <c r="C20" s="9" t="str">
        <f>IF(NOT(ISBLANK($H20)), IF(($H20+$J20)&gt;$I20,1,0) +IF(($M20+$O20)&gt;$N20,1,0)+IF(($R20+$T20)&gt;$S20,1,0), "")</f>
        <v/>
      </c>
      <c r="D20" s="10" t="str">
        <f>IF(NOT(ISBLANK($H20)),MIN($H20,$J$1*1.5)+IF(NOT(ISBLANK($M20)),MIN($M20,$O$1*1.5),0)+IF(NOT(ISBLANK($R20)),MIN($R20,$T$1*1.5),0), "")</f>
        <v/>
      </c>
      <c r="E20" s="71" t="str">
        <f>IF(NOT(ISBLANK($H20)), MAX($H20 - $J$1*1.5, 0) + IF(NOT(ISBLANK($M20)), MAX($M20 - $O$1*1.5, 0))+ IF(NOT(ISBLANK($R20)), MAX($R20 - $T$1*1.5, 0)), "")</f>
        <v/>
      </c>
      <c r="F20" s="11" t="str">
        <f>IF(NOT(ISBLANK($I20)),$I20+IF(NOT(ISBLANK($N20)), $N20, 0)+IF(NOT(ISBLANK($S20)), $S20, 0), "")</f>
        <v/>
      </c>
      <c r="G20" s="35"/>
      <c r="H20" s="25"/>
      <c r="I20" s="25"/>
      <c r="J20" s="36"/>
      <c r="K20" s="8" t="str">
        <f>IF(ISBLANK(G20), "", G20)</f>
        <v/>
      </c>
      <c r="L20" s="37"/>
      <c r="M20" s="25"/>
      <c r="N20" s="25"/>
      <c r="O20" s="36"/>
      <c r="P20" s="8" t="str">
        <f>CONCATENATE(IF(NOT(ISBLANK(G20)), G20, ""),IF(NOT(ISBLANK(L20)), CONCATENATE(", ", L20), ""))</f>
        <v/>
      </c>
      <c r="Q20" s="37"/>
      <c r="R20" s="25"/>
      <c r="S20" s="25"/>
      <c r="T20" s="36"/>
      <c r="U20" s="43"/>
      <c r="V20" s="44"/>
      <c r="W20" s="3" t="b">
        <f t="shared" si="0"/>
        <v>0</v>
      </c>
      <c r="X20" s="3" t="b">
        <f t="shared" si="1"/>
        <v>0</v>
      </c>
      <c r="Y20" s="3" t="b">
        <f t="shared" si="2"/>
        <v>0</v>
      </c>
      <c r="Z20" s="29">
        <f>Z19</f>
        <v>1</v>
      </c>
    </row>
    <row r="21" spans="1:30" ht="20.45" customHeight="1" x14ac:dyDescent="0.3">
      <c r="A21" s="26"/>
      <c r="B21" s="8" t="str">
        <f>IF(NOT(ISBLANK($H21)),RANK(C21,$C$3:$C$34)+SUMPRODUCT(--($C$3:$C$34=$C21),--(D21&lt;$D$3:$D$34))+SUMPRODUCT(--($C$3:$C$34=$C21),--(D21=$D$3:$D$34),--(E21&lt;$E$3:$E$34))+SUMPRODUCT(--($C$3:$C$34=$C21),--(D21=$D$3:$D$34),--(E21=$E$3:$E$34),--(F21&gt;$F$3:$F$34)),IF(NOT(ISBLANK(G21)),RANK(G21, $G$3:$G$34, 1),""))</f>
        <v/>
      </c>
      <c r="C21" s="9" t="str">
        <f>IF(NOT(ISBLANK($H21)), IF(($H21+$J21)&gt;$I21,1,0) +IF(($M21+$O21)&gt;$N21,1,0)+IF(($R21+$T21)&gt;$S21,1,0), "")</f>
        <v/>
      </c>
      <c r="D21" s="10" t="str">
        <f>IF(NOT(ISBLANK($H21)),MIN($H21,$J$1*1.5)+IF(NOT(ISBLANK($M21)),MIN($M21,$O$1*1.5),0)+IF(NOT(ISBLANK($R21)),MIN($R21,$T$1*1.5),0), "")</f>
        <v/>
      </c>
      <c r="E21" s="71" t="str">
        <f>IF(NOT(ISBLANK($H21)), MAX($H21 - $J$1*1.5, 0) + IF(NOT(ISBLANK($M21)), MAX($M21 - $O$1*1.5, 0))+ IF(NOT(ISBLANK($R21)), MAX($R21 - $T$1*1.5, 0)), "")</f>
        <v/>
      </c>
      <c r="F21" s="11" t="str">
        <f>IF(NOT(ISBLANK($I21)),$I21+IF(NOT(ISBLANK($N21)), $N21, 0)+IF(NOT(ISBLANK($S21)), $S21, 0), "")</f>
        <v/>
      </c>
      <c r="G21" s="37"/>
      <c r="H21" s="25"/>
      <c r="I21" s="25"/>
      <c r="J21" s="36"/>
      <c r="K21" s="8" t="str">
        <f>IF(ISBLANK(G21), "", G21)</f>
        <v/>
      </c>
      <c r="L21" s="37"/>
      <c r="M21" s="25"/>
      <c r="N21" s="25"/>
      <c r="O21" s="36"/>
      <c r="P21" s="8" t="str">
        <f>CONCATENATE(IF(NOT(ISBLANK(G21)), G21, ""),IF(NOT(ISBLANK(L21)), CONCATENATE(", ", L21), ""))</f>
        <v/>
      </c>
      <c r="Q21" s="37"/>
      <c r="R21" s="25"/>
      <c r="S21" s="25"/>
      <c r="T21" s="36"/>
      <c r="U21" s="43"/>
      <c r="V21" s="44"/>
      <c r="W21" s="3" t="b">
        <f t="shared" si="0"/>
        <v>0</v>
      </c>
      <c r="X21" s="3" t="b">
        <f t="shared" si="1"/>
        <v>0</v>
      </c>
      <c r="Y21" s="3" t="b">
        <f t="shared" si="2"/>
        <v>0</v>
      </c>
      <c r="Z21" s="29">
        <f>SUMPRODUCT(1/COUNTIF(AA21:AD21, AA21:AD21))</f>
        <v>1</v>
      </c>
      <c r="AA21" s="29">
        <f>G21</f>
        <v>0</v>
      </c>
      <c r="AB21" s="29">
        <f>L21</f>
        <v>0</v>
      </c>
      <c r="AC21" s="29">
        <f>G22</f>
        <v>0</v>
      </c>
      <c r="AD21" s="29">
        <f>L22</f>
        <v>0</v>
      </c>
    </row>
    <row r="22" spans="1:30" ht="20.45" customHeight="1" x14ac:dyDescent="0.3">
      <c r="A22" s="26"/>
      <c r="B22" s="8" t="str">
        <f>IF(NOT(ISBLANK($H22)),RANK(C22,$C$3:$C$34)+SUMPRODUCT(--($C$3:$C$34=$C22),--(D22&lt;$D$3:$D$34))+SUMPRODUCT(--($C$3:$C$34=$C22),--(D22=$D$3:$D$34),--(E22&lt;$E$3:$E$34))+SUMPRODUCT(--($C$3:$C$34=$C22),--(D22=$D$3:$D$34),--(E22=$E$3:$E$34),--(F22&gt;$F$3:$F$34)),IF(NOT(ISBLANK(G22)),RANK(G22, $G$3:$G$34, 1),""))</f>
        <v/>
      </c>
      <c r="C22" s="9" t="str">
        <f>IF(NOT(ISBLANK($H22)), IF(($H22+$J22)&gt;$I22,1,0) +IF(($M22+$O22)&gt;$N22,1,0)+IF(($R22+$T22)&gt;$S22,1,0), "")</f>
        <v/>
      </c>
      <c r="D22" s="10" t="str">
        <f>IF(NOT(ISBLANK($H22)),MIN($H22,$J$1*1.5)+IF(NOT(ISBLANK($M22)),MIN($M22,$O$1*1.5),0)+IF(NOT(ISBLANK($R22)),MIN($R22,$T$1*1.5),0), "")</f>
        <v/>
      </c>
      <c r="E22" s="71" t="str">
        <f>IF(NOT(ISBLANK($H22)), MAX($H22 - $J$1*1.5, 0) + IF(NOT(ISBLANK($M22)), MAX($M22 - $O$1*1.5, 0))+ IF(NOT(ISBLANK($R22)), MAX($R22 - $T$1*1.5, 0)), "")</f>
        <v/>
      </c>
      <c r="F22" s="11" t="str">
        <f>IF(NOT(ISBLANK($I22)),$I22+IF(NOT(ISBLANK($N22)), $N22, 0)+IF(NOT(ISBLANK($S22)), $S22, 0), "")</f>
        <v/>
      </c>
      <c r="G22" s="37"/>
      <c r="H22" s="25"/>
      <c r="I22" s="25"/>
      <c r="J22" s="36"/>
      <c r="K22" s="8" t="str">
        <f>IF(ISBLANK(G22), "", G22)</f>
        <v/>
      </c>
      <c r="L22" s="37"/>
      <c r="M22" s="25"/>
      <c r="N22" s="25"/>
      <c r="O22" s="36"/>
      <c r="P22" s="8" t="str">
        <f>CONCATENATE(IF(NOT(ISBLANK(G22)), G22, ""),IF(NOT(ISBLANK(L22)), CONCATENATE(", ", L22), ""))</f>
        <v/>
      </c>
      <c r="Q22" s="37"/>
      <c r="R22" s="25"/>
      <c r="S22" s="25"/>
      <c r="T22" s="36"/>
      <c r="U22" s="43"/>
      <c r="V22" s="44"/>
      <c r="W22" s="3" t="b">
        <f t="shared" si="0"/>
        <v>0</v>
      </c>
      <c r="X22" s="3" t="b">
        <f t="shared" si="1"/>
        <v>0</v>
      </c>
      <c r="Y22" s="3" t="b">
        <f t="shared" si="2"/>
        <v>0</v>
      </c>
      <c r="Z22" s="29">
        <f>Z21</f>
        <v>1</v>
      </c>
    </row>
    <row r="23" spans="1:30" ht="20.45" customHeight="1" x14ac:dyDescent="0.3">
      <c r="A23" s="26"/>
      <c r="B23" s="8" t="str">
        <f>IF(NOT(ISBLANK($H23)),RANK(C23,$C$3:$C$34)+SUMPRODUCT(--($C$3:$C$34=$C23),--(D23&lt;$D$3:$D$34))+SUMPRODUCT(--($C$3:$C$34=$C23),--(D23=$D$3:$D$34),--(E23&lt;$E$3:$E$34))+SUMPRODUCT(--($C$3:$C$34=$C23),--(D23=$D$3:$D$34),--(E23=$E$3:$E$34),--(F23&gt;$F$3:$F$34)),IF(NOT(ISBLANK(G23)),RANK(G23, $G$3:$G$34, 1),""))</f>
        <v/>
      </c>
      <c r="C23" s="9" t="str">
        <f>IF(NOT(ISBLANK($H23)), IF(($H23+$J23)&gt;$I23,1,0) +IF(($M23+$O23)&gt;$N23,1,0)+IF(($R23+$T23)&gt;$S23,1,0), "")</f>
        <v/>
      </c>
      <c r="D23" s="10" t="str">
        <f>IF(NOT(ISBLANK($H23)),MIN($H23,$J$1*1.5)+IF(NOT(ISBLANK($M23)),MIN($M23,$O$1*1.5),0)+IF(NOT(ISBLANK($R23)),MIN($R23,$T$1*1.5),0), "")</f>
        <v/>
      </c>
      <c r="E23" s="71" t="str">
        <f>IF(NOT(ISBLANK($H23)), MAX($H23 - $J$1*1.5, 0) + IF(NOT(ISBLANK($M23)), MAX($M23 - $O$1*1.5, 0))+ IF(NOT(ISBLANK($R23)), MAX($R23 - $T$1*1.5, 0)), "")</f>
        <v/>
      </c>
      <c r="F23" s="11" t="str">
        <f>IF(NOT(ISBLANK($I23)),$I23+IF(NOT(ISBLANK($N23)), $N23, 0)+IF(NOT(ISBLANK($S23)), $S23, 0), "")</f>
        <v/>
      </c>
      <c r="G23" s="35"/>
      <c r="H23" s="25"/>
      <c r="I23" s="25"/>
      <c r="J23" s="36"/>
      <c r="K23" s="8" t="str">
        <f>IF(ISBLANK(G23), "", G23)</f>
        <v/>
      </c>
      <c r="L23" s="37"/>
      <c r="M23" s="25"/>
      <c r="N23" s="25"/>
      <c r="O23" s="36"/>
      <c r="P23" s="8" t="str">
        <f>CONCATENATE(IF(NOT(ISBLANK(G23)), G23, ""),IF(NOT(ISBLANK(L23)), CONCATENATE(", ", L23), ""))</f>
        <v/>
      </c>
      <c r="Q23" s="37"/>
      <c r="R23" s="25"/>
      <c r="S23" s="25"/>
      <c r="T23" s="36"/>
      <c r="U23" s="43"/>
      <c r="V23" s="44"/>
      <c r="W23" s="3" t="b">
        <f t="shared" si="0"/>
        <v>0</v>
      </c>
      <c r="X23" s="3" t="b">
        <f t="shared" si="1"/>
        <v>0</v>
      </c>
      <c r="Y23" s="3" t="b">
        <f t="shared" si="2"/>
        <v>0</v>
      </c>
      <c r="Z23" s="29">
        <f>SUMPRODUCT(1/COUNTIF(AA23:AD23, AA23:AD23))</f>
        <v>1</v>
      </c>
      <c r="AA23" s="29">
        <f>G23</f>
        <v>0</v>
      </c>
      <c r="AB23" s="29">
        <f>L23</f>
        <v>0</v>
      </c>
      <c r="AC23" s="29">
        <f>G24</f>
        <v>0</v>
      </c>
      <c r="AD23" s="29">
        <f>L24</f>
        <v>0</v>
      </c>
    </row>
    <row r="24" spans="1:30" ht="20.45" customHeight="1" x14ac:dyDescent="0.3">
      <c r="A24" s="26"/>
      <c r="B24" s="8" t="str">
        <f>IF(NOT(ISBLANK($H24)),RANK(C24,$C$3:$C$34)+SUMPRODUCT(--($C$3:$C$34=$C24),--(D24&lt;$D$3:$D$34))+SUMPRODUCT(--($C$3:$C$34=$C24),--(D24=$D$3:$D$34),--(E24&lt;$E$3:$E$34))+SUMPRODUCT(--($C$3:$C$34=$C24),--(D24=$D$3:$D$34),--(E24=$E$3:$E$34),--(F24&gt;$F$3:$F$34)),IF(NOT(ISBLANK(G24)),RANK(G24, $G$3:$G$34, 1),""))</f>
        <v/>
      </c>
      <c r="C24" s="9" t="str">
        <f>IF(NOT(ISBLANK($H24)), IF(($H24+$J24)&gt;$I24,1,0) +IF(($M24+$O24)&gt;$N24,1,0)+IF(($R24+$T24)&gt;$S24,1,0), "")</f>
        <v/>
      </c>
      <c r="D24" s="10" t="str">
        <f>IF(NOT(ISBLANK($H24)),MIN($H24,$J$1*1.5)+IF(NOT(ISBLANK($M24)),MIN($M24,$O$1*1.5),0)+IF(NOT(ISBLANK($R24)),MIN($R24,$T$1*1.5),0), "")</f>
        <v/>
      </c>
      <c r="E24" s="71" t="str">
        <f>IF(NOT(ISBLANK($H24)), MAX($H24 - $J$1*1.5, 0) + IF(NOT(ISBLANK($M24)), MAX($M24 - $O$1*1.5, 0))+ IF(NOT(ISBLANK($R24)), MAX($R24 - $T$1*1.5, 0)), "")</f>
        <v/>
      </c>
      <c r="F24" s="11" t="str">
        <f>IF(NOT(ISBLANK($I24)),$I24+IF(NOT(ISBLANK($N24)), $N24, 0)+IF(NOT(ISBLANK($S24)), $S24, 0), "")</f>
        <v/>
      </c>
      <c r="G24" s="35"/>
      <c r="H24" s="25"/>
      <c r="I24" s="25"/>
      <c r="J24" s="36"/>
      <c r="K24" s="8" t="str">
        <f>IF(ISBLANK(G24), "", G24)</f>
        <v/>
      </c>
      <c r="L24" s="37"/>
      <c r="M24" s="25"/>
      <c r="N24" s="25"/>
      <c r="O24" s="36"/>
      <c r="P24" s="8" t="str">
        <f>CONCATENATE(IF(NOT(ISBLANK(G24)), G24, ""),IF(NOT(ISBLANK(L24)), CONCATENATE(", ", L24), ""))</f>
        <v/>
      </c>
      <c r="Q24" s="37"/>
      <c r="R24" s="25"/>
      <c r="S24" s="25"/>
      <c r="T24" s="36"/>
      <c r="U24" s="43"/>
      <c r="V24" s="44"/>
      <c r="W24" s="3" t="b">
        <f t="shared" si="0"/>
        <v>0</v>
      </c>
      <c r="X24" s="3" t="b">
        <f t="shared" si="1"/>
        <v>0</v>
      </c>
      <c r="Y24" s="3" t="b">
        <f t="shared" si="2"/>
        <v>0</v>
      </c>
      <c r="Z24" s="29">
        <f>Z23</f>
        <v>1</v>
      </c>
    </row>
    <row r="25" spans="1:30" ht="20.45" customHeight="1" x14ac:dyDescent="0.25">
      <c r="A25" s="26"/>
      <c r="B25" s="8" t="str">
        <f>IF(NOT(ISBLANK($H25)),RANK(C25,$C$3:$C$34)+SUMPRODUCT(--($C$3:$C$34=$C25),--(D25&lt;$D$3:$D$34))+SUMPRODUCT(--($C$3:$C$34=$C25),--(D25=$D$3:$D$34),--(E25&lt;$E$3:$E$34))+SUMPRODUCT(--($C$3:$C$34=$C25),--(D25=$D$3:$D$34),--(E25=$E$3:$E$34),--(F25&gt;$F$3:$F$34)),IF(NOT(ISBLANK(G25)),RANK(G25, $G$3:$G$34, 1),""))</f>
        <v/>
      </c>
      <c r="C25" s="9" t="str">
        <f>IF(NOT(ISBLANK($H25)), IF(($H25+$J25)&gt;$I25,1,0) +IF(($M25+$O25)&gt;$N25,1,0)+IF(($R25+$T25)&gt;$S25,1,0), "")</f>
        <v/>
      </c>
      <c r="D25" s="10" t="str">
        <f>IF(NOT(ISBLANK($H25)),MIN($H25,$J$1*1.5)+IF(NOT(ISBLANK($M25)),MIN($M25,$O$1*1.5),0)+IF(NOT(ISBLANK($R25)),MIN($R25,$T$1*1.5),0), "")</f>
        <v/>
      </c>
      <c r="E25" s="71" t="str">
        <f>IF(NOT(ISBLANK($H25)), MAX($H25 - $J$1*1.5, 0) + IF(NOT(ISBLANK($M25)), MAX($M25 - $O$1*1.5, 0))+ IF(NOT(ISBLANK($R25)), MAX($R25 - $T$1*1.5, 0)), "")</f>
        <v/>
      </c>
      <c r="F25" s="11" t="str">
        <f>IF(NOT(ISBLANK($I25)),$I25+IF(NOT(ISBLANK($N25)), $N25, 0)+IF(NOT(ISBLANK($S25)), $S25, 0), "")</f>
        <v/>
      </c>
      <c r="G25" s="37"/>
      <c r="H25" s="25"/>
      <c r="I25" s="25"/>
      <c r="J25" s="36"/>
      <c r="K25" s="8" t="str">
        <f>IF(ISBLANK(G25), "", G25)</f>
        <v/>
      </c>
      <c r="L25" s="37"/>
      <c r="M25" s="25"/>
      <c r="N25" s="25"/>
      <c r="O25" s="36"/>
      <c r="P25" s="8" t="str">
        <f>CONCATENATE(IF(NOT(ISBLANK(G25)), G25, ""),IF(NOT(ISBLANK(L25)), CONCATENATE(", ", L25), ""))</f>
        <v/>
      </c>
      <c r="Q25" s="37"/>
      <c r="R25" s="25"/>
      <c r="S25" s="25"/>
      <c r="T25" s="36"/>
      <c r="U25" s="43"/>
      <c r="V25" s="44"/>
      <c r="W25" s="3" t="b">
        <f t="shared" si="0"/>
        <v>0</v>
      </c>
      <c r="X25" s="3" t="b">
        <f t="shared" si="1"/>
        <v>0</v>
      </c>
      <c r="Y25" s="3" t="b">
        <f t="shared" si="2"/>
        <v>0</v>
      </c>
      <c r="Z25" s="29">
        <f>SUMPRODUCT(1/COUNTIF(AA25:AD25, AA25:AD25))</f>
        <v>1</v>
      </c>
      <c r="AA25" s="29">
        <f>G25</f>
        <v>0</v>
      </c>
      <c r="AB25" s="29">
        <f>L25</f>
        <v>0</v>
      </c>
      <c r="AC25" s="29">
        <f>G26</f>
        <v>0</v>
      </c>
      <c r="AD25" s="29">
        <f>L26</f>
        <v>0</v>
      </c>
    </row>
    <row r="26" spans="1:30" ht="20.45" customHeight="1" x14ac:dyDescent="0.25">
      <c r="A26" s="26"/>
      <c r="B26" s="8" t="str">
        <f>IF(NOT(ISBLANK($H26)),RANK(C26,$C$3:$C$34)+SUMPRODUCT(--($C$3:$C$34=$C26),--(D26&lt;$D$3:$D$34))+SUMPRODUCT(--($C$3:$C$34=$C26),--(D26=$D$3:$D$34),--(E26&lt;$E$3:$E$34))+SUMPRODUCT(--($C$3:$C$34=$C26),--(D26=$D$3:$D$34),--(E26=$E$3:$E$34),--(F26&gt;$F$3:$F$34)),IF(NOT(ISBLANK(G26)),RANK(G26, $G$3:$G$34, 1),""))</f>
        <v/>
      </c>
      <c r="C26" s="9" t="str">
        <f>IF(NOT(ISBLANK($H26)), IF(($H26+$J26)&gt;$I26,1,0) +IF(($M26+$O26)&gt;$N26,1,0)+IF(($R26+$T26)&gt;$S26,1,0), "")</f>
        <v/>
      </c>
      <c r="D26" s="10" t="str">
        <f>IF(NOT(ISBLANK($H26)),MIN($H26,$J$1*1.5)+IF(NOT(ISBLANK($M26)),MIN($M26,$O$1*1.5),0)+IF(NOT(ISBLANK($R26)),MIN($R26,$T$1*1.5),0), "")</f>
        <v/>
      </c>
      <c r="E26" s="71" t="str">
        <f>IF(NOT(ISBLANK($H26)), MAX($H26 - $J$1*1.5, 0) + IF(NOT(ISBLANK($M26)), MAX($M26 - $O$1*1.5, 0))+ IF(NOT(ISBLANK($R26)), MAX($R26 - $T$1*1.5, 0)), "")</f>
        <v/>
      </c>
      <c r="F26" s="11" t="str">
        <f>IF(NOT(ISBLANK($I26)),$I26+IF(NOT(ISBLANK($N26)), $N26, 0)+IF(NOT(ISBLANK($S26)), $S26, 0), "")</f>
        <v/>
      </c>
      <c r="G26" s="37"/>
      <c r="H26" s="25"/>
      <c r="I26" s="25"/>
      <c r="J26" s="36"/>
      <c r="K26" s="8" t="str">
        <f>IF(ISBLANK(G26), "", G26)</f>
        <v/>
      </c>
      <c r="L26" s="37"/>
      <c r="M26" s="25"/>
      <c r="N26" s="25"/>
      <c r="O26" s="36"/>
      <c r="P26" s="8" t="str">
        <f>CONCATENATE(IF(NOT(ISBLANK(G26)), G26, ""),IF(NOT(ISBLANK(L26)), CONCATENATE(", ", L26), ""))</f>
        <v/>
      </c>
      <c r="Q26" s="37"/>
      <c r="R26" s="25"/>
      <c r="S26" s="25"/>
      <c r="T26" s="36"/>
      <c r="U26" s="43"/>
      <c r="V26" s="44"/>
      <c r="W26" s="3" t="b">
        <f t="shared" si="0"/>
        <v>0</v>
      </c>
      <c r="X26" s="3" t="b">
        <f t="shared" si="1"/>
        <v>0</v>
      </c>
      <c r="Y26" s="3" t="b">
        <f t="shared" si="2"/>
        <v>0</v>
      </c>
      <c r="Z26" s="29">
        <f>Z25</f>
        <v>1</v>
      </c>
    </row>
    <row r="27" spans="1:30" ht="20.45" customHeight="1" x14ac:dyDescent="0.25">
      <c r="A27" s="26"/>
      <c r="B27" s="8" t="str">
        <f>IF(NOT(ISBLANK($H27)),RANK(C27,$C$3:$C$34)+SUMPRODUCT(--($C$3:$C$34=$C27),--(D27&lt;$D$3:$D$34))+SUMPRODUCT(--($C$3:$C$34=$C27),--(D27=$D$3:$D$34),--(E27&lt;$E$3:$E$34))+SUMPRODUCT(--($C$3:$C$34=$C27),--(D27=$D$3:$D$34),--(E27=$E$3:$E$34),--(F27&gt;$F$3:$F$34)),IF(NOT(ISBLANK(G27)),RANK(G27, $G$3:$G$34, 1),""))</f>
        <v/>
      </c>
      <c r="C27" s="9" t="str">
        <f>IF(NOT(ISBLANK($H27)), IF(($H27+$J27)&gt;$I27,1,0) +IF(($M27+$O27)&gt;$N27,1,0)+IF(($R27+$T27)&gt;$S27,1,0), "")</f>
        <v/>
      </c>
      <c r="D27" s="10" t="str">
        <f>IF(NOT(ISBLANK($H27)),MIN($H27,$J$1*1.5)+IF(NOT(ISBLANK($M27)),MIN($M27,$O$1*1.5),0)+IF(NOT(ISBLANK($R27)),MIN($R27,$T$1*1.5),0), "")</f>
        <v/>
      </c>
      <c r="E27" s="71" t="str">
        <f>IF(NOT(ISBLANK($H27)), MAX($H27 - $J$1*1.5, 0) + IF(NOT(ISBLANK($M27)), MAX($M27 - $O$1*1.5, 0))+ IF(NOT(ISBLANK($R27)), MAX($R27 - $T$1*1.5, 0)), "")</f>
        <v/>
      </c>
      <c r="F27" s="11" t="str">
        <f>IF(NOT(ISBLANK($I27)),$I27+IF(NOT(ISBLANK($N27)), $N27, 0)+IF(NOT(ISBLANK($S27)), $S27, 0), "")</f>
        <v/>
      </c>
      <c r="G27" s="35"/>
      <c r="H27" s="25"/>
      <c r="I27" s="25"/>
      <c r="J27" s="36"/>
      <c r="K27" s="8" t="str">
        <f>IF(ISBLANK(G27), "", G27)</f>
        <v/>
      </c>
      <c r="L27" s="37"/>
      <c r="M27" s="25"/>
      <c r="N27" s="25"/>
      <c r="O27" s="36"/>
      <c r="P27" s="8" t="str">
        <f>CONCATENATE(IF(NOT(ISBLANK(G27)), G27, ""),IF(NOT(ISBLANK(L27)), CONCATENATE(", ", L27), ""))</f>
        <v/>
      </c>
      <c r="Q27" s="37"/>
      <c r="R27" s="25"/>
      <c r="S27" s="25"/>
      <c r="T27" s="36"/>
      <c r="U27" s="43"/>
      <c r="V27" s="44"/>
      <c r="W27" s="3" t="b">
        <f t="shared" si="0"/>
        <v>0</v>
      </c>
      <c r="X27" s="3" t="b">
        <f t="shared" si="1"/>
        <v>0</v>
      </c>
      <c r="Y27" s="3" t="b">
        <f t="shared" si="2"/>
        <v>0</v>
      </c>
      <c r="Z27" s="29">
        <f>SUMPRODUCT(1/COUNTIF(AA27:AD27, AA27:AD27))</f>
        <v>1</v>
      </c>
      <c r="AA27" s="29">
        <f>G27</f>
        <v>0</v>
      </c>
      <c r="AB27" s="29">
        <f>L27</f>
        <v>0</v>
      </c>
      <c r="AC27" s="29">
        <f>G28</f>
        <v>0</v>
      </c>
      <c r="AD27" s="29">
        <f>L28</f>
        <v>0</v>
      </c>
    </row>
    <row r="28" spans="1:30" ht="20.45" customHeight="1" x14ac:dyDescent="0.25">
      <c r="A28" s="26"/>
      <c r="B28" s="8" t="str">
        <f>IF(NOT(ISBLANK($H28)),RANK(C28,$C$3:$C$34)+SUMPRODUCT(--($C$3:$C$34=$C28),--(D28&lt;$D$3:$D$34))+SUMPRODUCT(--($C$3:$C$34=$C28),--(D28=$D$3:$D$34),--(E28&lt;$E$3:$E$34))+SUMPRODUCT(--($C$3:$C$34=$C28),--(D28=$D$3:$D$34),--(E28=$E$3:$E$34),--(F28&gt;$F$3:$F$34)),IF(NOT(ISBLANK(G28)),RANK(G28, $G$3:$G$34, 1),""))</f>
        <v/>
      </c>
      <c r="C28" s="9" t="str">
        <f>IF(NOT(ISBLANK($H28)), IF(($H28+$J28)&gt;$I28,1,0) +IF(($M28+$O28)&gt;$N28,1,0)+IF(($R28+$T28)&gt;$S28,1,0), "")</f>
        <v/>
      </c>
      <c r="D28" s="10" t="str">
        <f>IF(NOT(ISBLANK($H28)),MIN($H28,$J$1*1.5)+IF(NOT(ISBLANK($M28)),MIN($M28,$O$1*1.5),0)+IF(NOT(ISBLANK($R28)),MIN($R28,$T$1*1.5),0), "")</f>
        <v/>
      </c>
      <c r="E28" s="71" t="str">
        <f>IF(NOT(ISBLANK($H28)), MAX($H28 - $J$1*1.5, 0) + IF(NOT(ISBLANK($M28)), MAX($M28 - $O$1*1.5, 0))+ IF(NOT(ISBLANK($R28)), MAX($R28 - $T$1*1.5, 0)), "")</f>
        <v/>
      </c>
      <c r="F28" s="11" t="str">
        <f>IF(NOT(ISBLANK($I28)),$I28+IF(NOT(ISBLANK($N28)), $N28, 0)+IF(NOT(ISBLANK($S28)), $S28, 0), "")</f>
        <v/>
      </c>
      <c r="G28" s="35"/>
      <c r="H28" s="25"/>
      <c r="I28" s="25"/>
      <c r="J28" s="36"/>
      <c r="K28" s="8" t="str">
        <f>IF(ISBLANK(G28), "", G28)</f>
        <v/>
      </c>
      <c r="L28" s="37"/>
      <c r="M28" s="25"/>
      <c r="N28" s="25"/>
      <c r="O28" s="36"/>
      <c r="P28" s="8" t="str">
        <f>CONCATENATE(IF(NOT(ISBLANK(G28)), G28, ""),IF(NOT(ISBLANK(L28)), CONCATENATE(", ", L28), ""))</f>
        <v/>
      </c>
      <c r="Q28" s="37"/>
      <c r="R28" s="25"/>
      <c r="S28" s="25"/>
      <c r="T28" s="36"/>
      <c r="U28" s="43"/>
      <c r="V28" s="44"/>
      <c r="W28" s="3" t="b">
        <f t="shared" si="0"/>
        <v>0</v>
      </c>
      <c r="X28" s="3" t="b">
        <f t="shared" si="1"/>
        <v>0</v>
      </c>
      <c r="Y28" s="3" t="b">
        <f t="shared" si="2"/>
        <v>0</v>
      </c>
      <c r="Z28" s="29">
        <f>Z27</f>
        <v>1</v>
      </c>
    </row>
    <row r="29" spans="1:30" ht="20.45" customHeight="1" x14ac:dyDescent="0.25">
      <c r="A29" s="26"/>
      <c r="B29" s="8" t="str">
        <f>IF(NOT(ISBLANK($H29)),RANK(C29,$C$3:$C$34)+SUMPRODUCT(--($C$3:$C$34=$C29),--(D29&lt;$D$3:$D$34))+SUMPRODUCT(--($C$3:$C$34=$C29),--(D29=$D$3:$D$34),--(E29&lt;$E$3:$E$34))+SUMPRODUCT(--($C$3:$C$34=$C29),--(D29=$D$3:$D$34),--(E29=$E$3:$E$34),--(F29&gt;$F$3:$F$34)),IF(NOT(ISBLANK(G29)),RANK(G29, $G$3:$G$34, 1),""))</f>
        <v/>
      </c>
      <c r="C29" s="9" t="str">
        <f>IF(NOT(ISBLANK($H29)), IF(($H29+$J29)&gt;$I29,1,0) +IF(($M29+$O29)&gt;$N29,1,0)+IF(($R29+$T29)&gt;$S29,1,0), "")</f>
        <v/>
      </c>
      <c r="D29" s="10" t="str">
        <f>IF(NOT(ISBLANK($H29)),MIN($H29,$J$1*1.5)+IF(NOT(ISBLANK($M29)),MIN($M29,$O$1*1.5),0)+IF(NOT(ISBLANK($R29)),MIN($R29,$T$1*1.5),0), "")</f>
        <v/>
      </c>
      <c r="E29" s="71" t="str">
        <f>IF(NOT(ISBLANK($H29)), MAX($H29 - $J$1*1.5, 0) + IF(NOT(ISBLANK($M29)), MAX($M29 - $O$1*1.5, 0))+ IF(NOT(ISBLANK($R29)), MAX($R29 - $T$1*1.5, 0)), "")</f>
        <v/>
      </c>
      <c r="F29" s="11" t="str">
        <f>IF(NOT(ISBLANK($I29)),$I29+IF(NOT(ISBLANK($N29)), $N29, 0)+IF(NOT(ISBLANK($S29)), $S29, 0), "")</f>
        <v/>
      </c>
      <c r="G29" s="37"/>
      <c r="H29" s="25"/>
      <c r="I29" s="25"/>
      <c r="J29" s="36"/>
      <c r="K29" s="8" t="str">
        <f>IF(ISBLANK(G29), "", G29)</f>
        <v/>
      </c>
      <c r="L29" s="37"/>
      <c r="M29" s="25"/>
      <c r="N29" s="25"/>
      <c r="O29" s="36"/>
      <c r="P29" s="8" t="str">
        <f>CONCATENATE(IF(NOT(ISBLANK(G29)), G29, ""),IF(NOT(ISBLANK(L29)), CONCATENATE(", ", L29), ""))</f>
        <v/>
      </c>
      <c r="Q29" s="37"/>
      <c r="R29" s="25"/>
      <c r="S29" s="25"/>
      <c r="T29" s="36"/>
      <c r="U29" s="43"/>
      <c r="V29" s="44"/>
      <c r="W29" s="3" t="b">
        <f t="shared" si="0"/>
        <v>0</v>
      </c>
      <c r="X29" s="3" t="b">
        <f t="shared" si="1"/>
        <v>0</v>
      </c>
      <c r="Y29" s="3" t="b">
        <f t="shared" si="2"/>
        <v>0</v>
      </c>
      <c r="Z29" s="29">
        <f>SUMPRODUCT(1/COUNTIF(AA29:AD29, AA29:AD29))</f>
        <v>1</v>
      </c>
      <c r="AA29" s="29">
        <f>G29</f>
        <v>0</v>
      </c>
      <c r="AB29" s="29">
        <f>L29</f>
        <v>0</v>
      </c>
      <c r="AC29" s="29">
        <f>G30</f>
        <v>0</v>
      </c>
      <c r="AD29" s="29">
        <f>L30</f>
        <v>0</v>
      </c>
    </row>
    <row r="30" spans="1:30" ht="20.45" customHeight="1" x14ac:dyDescent="0.25">
      <c r="A30" s="26"/>
      <c r="B30" s="8" t="str">
        <f>IF(NOT(ISBLANK($H30)),RANK(C30,$C$3:$C$34)+SUMPRODUCT(--($C$3:$C$34=$C30),--(D30&lt;$D$3:$D$34))+SUMPRODUCT(--($C$3:$C$34=$C30),--(D30=$D$3:$D$34),--(E30&lt;$E$3:$E$34))+SUMPRODUCT(--($C$3:$C$34=$C30),--(D30=$D$3:$D$34),--(E30=$E$3:$E$34),--(F30&gt;$F$3:$F$34)),IF(NOT(ISBLANK(G30)),RANK(G30, $G$3:$G$34, 1),""))</f>
        <v/>
      </c>
      <c r="C30" s="9" t="str">
        <f>IF(NOT(ISBLANK($H30)), IF(($H30+$J30)&gt;$I30,1,0) +IF(($M30+$O30)&gt;$N30,1,0)+IF(($R30+$T30)&gt;$S30,1,0), "")</f>
        <v/>
      </c>
      <c r="D30" s="10" t="str">
        <f>IF(NOT(ISBLANK($H30)),MIN($H30,$J$1*1.5)+IF(NOT(ISBLANK($M30)),MIN($M30,$O$1*1.5),0)+IF(NOT(ISBLANK($R30)),MIN($R30,$T$1*1.5),0), "")</f>
        <v/>
      </c>
      <c r="E30" s="71" t="str">
        <f>IF(NOT(ISBLANK($H30)), MAX($H30 - $J$1*1.5, 0) + IF(NOT(ISBLANK($M30)), MAX($M30 - $O$1*1.5, 0))+ IF(NOT(ISBLANK($R30)), MAX($R30 - $T$1*1.5, 0)), "")</f>
        <v/>
      </c>
      <c r="F30" s="11" t="str">
        <f>IF(NOT(ISBLANK($I30)),$I30+IF(NOT(ISBLANK($N30)), $N30, 0)+IF(NOT(ISBLANK($S30)), $S30, 0), "")</f>
        <v/>
      </c>
      <c r="G30" s="37"/>
      <c r="H30" s="25"/>
      <c r="I30" s="25"/>
      <c r="J30" s="36"/>
      <c r="K30" s="8" t="str">
        <f>IF(ISBLANK(G30), "", G30)</f>
        <v/>
      </c>
      <c r="L30" s="37"/>
      <c r="M30" s="25"/>
      <c r="N30" s="25"/>
      <c r="O30" s="36"/>
      <c r="P30" s="8" t="str">
        <f>CONCATENATE(IF(NOT(ISBLANK(G30)), G30, ""),IF(NOT(ISBLANK(L30)), CONCATENATE(", ", L30), ""))</f>
        <v/>
      </c>
      <c r="Q30" s="37"/>
      <c r="R30" s="25"/>
      <c r="S30" s="25"/>
      <c r="T30" s="36"/>
      <c r="U30" s="43"/>
      <c r="V30" s="44"/>
      <c r="W30" s="3" t="b">
        <f t="shared" si="0"/>
        <v>0</v>
      </c>
      <c r="X30" s="3" t="b">
        <f t="shared" si="1"/>
        <v>0</v>
      </c>
      <c r="Y30" s="3" t="b">
        <f t="shared" si="2"/>
        <v>0</v>
      </c>
      <c r="Z30" s="29">
        <f>Z29</f>
        <v>1</v>
      </c>
    </row>
    <row r="31" spans="1:30" ht="20.45" customHeight="1" x14ac:dyDescent="0.25">
      <c r="A31" s="26"/>
      <c r="B31" s="8" t="str">
        <f>IF(NOT(ISBLANK($H31)),RANK(C31,$C$3:$C$34)+SUMPRODUCT(--($C$3:$C$34=$C31),--(D31&lt;$D$3:$D$34))+SUMPRODUCT(--($C$3:$C$34=$C31),--(D31=$D$3:$D$34),--(E31&lt;$E$3:$E$34))+SUMPRODUCT(--($C$3:$C$34=$C31),--(D31=$D$3:$D$34),--(E31=$E$3:$E$34),--(F31&gt;$F$3:$F$34)),IF(NOT(ISBLANK(G31)),RANK(G31, $G$3:$G$34, 1),""))</f>
        <v/>
      </c>
      <c r="C31" s="9" t="str">
        <f>IF(NOT(ISBLANK($H31)), IF(($H31+$J31)&gt;$I31,1,0) +IF(($M31+$O31)&gt;$N31,1,0)+IF(($R31+$T31)&gt;$S31,1,0), "")</f>
        <v/>
      </c>
      <c r="D31" s="10" t="str">
        <f>IF(NOT(ISBLANK($H31)),MIN($H31,$J$1*1.5)+IF(NOT(ISBLANK($M31)),MIN($M31,$O$1*1.5),0)+IF(NOT(ISBLANK($R31)),MIN($R31,$T$1*1.5),0), "")</f>
        <v/>
      </c>
      <c r="E31" s="71" t="str">
        <f>IF(NOT(ISBLANK($H31)), MAX($H31 - $J$1*1.5, 0) + IF(NOT(ISBLANK($M31)), MAX($M31 - $O$1*1.5, 0))+ IF(NOT(ISBLANK($R31)), MAX($R31 - $T$1*1.5, 0)), "")</f>
        <v/>
      </c>
      <c r="F31" s="11" t="str">
        <f>IF(NOT(ISBLANK($I31)),$I31+IF(NOT(ISBLANK($N31)), $N31, 0)+IF(NOT(ISBLANK($S31)), $S31, 0), "")</f>
        <v/>
      </c>
      <c r="G31" s="35"/>
      <c r="H31" s="25"/>
      <c r="I31" s="25"/>
      <c r="J31" s="36"/>
      <c r="K31" s="8" t="str">
        <f>IF(ISBLANK(G31), "", G31)</f>
        <v/>
      </c>
      <c r="L31" s="37"/>
      <c r="M31" s="25"/>
      <c r="N31" s="25"/>
      <c r="O31" s="36"/>
      <c r="P31" s="8" t="str">
        <f>CONCATENATE(IF(NOT(ISBLANK(G31)), G31, ""),IF(NOT(ISBLANK(L31)), CONCATENATE(", ", L31), ""))</f>
        <v/>
      </c>
      <c r="Q31" s="37"/>
      <c r="R31" s="25"/>
      <c r="S31" s="25"/>
      <c r="T31" s="36"/>
      <c r="U31" s="43"/>
      <c r="V31" s="44"/>
      <c r="W31" s="3" t="b">
        <f t="shared" si="0"/>
        <v>0</v>
      </c>
      <c r="X31" s="3" t="b">
        <f t="shared" si="1"/>
        <v>0</v>
      </c>
      <c r="Y31" s="3" t="b">
        <f t="shared" si="2"/>
        <v>0</v>
      </c>
      <c r="Z31" s="29">
        <f>SUMPRODUCT(1/COUNTIF(AA31:AD31, AA31:AD31))</f>
        <v>1</v>
      </c>
      <c r="AA31" s="29">
        <f>G31</f>
        <v>0</v>
      </c>
      <c r="AB31" s="29">
        <f>L31</f>
        <v>0</v>
      </c>
      <c r="AC31" s="29">
        <f>G32</f>
        <v>0</v>
      </c>
      <c r="AD31" s="29">
        <f>L32</f>
        <v>0</v>
      </c>
    </row>
    <row r="32" spans="1:30" ht="20.45" customHeight="1" x14ac:dyDescent="0.25">
      <c r="A32" s="26"/>
      <c r="B32" s="8" t="str">
        <f>IF(NOT(ISBLANK($H32)),RANK(C32,$C$3:$C$34)+SUMPRODUCT(--($C$3:$C$34=$C32),--(D32&lt;$D$3:$D$34))+SUMPRODUCT(--($C$3:$C$34=$C32),--(D32=$D$3:$D$34),--(E32&lt;$E$3:$E$34))+SUMPRODUCT(--($C$3:$C$34=$C32),--(D32=$D$3:$D$34),--(E32=$E$3:$E$34),--(F32&gt;$F$3:$F$34)),IF(NOT(ISBLANK(G32)),RANK(G32, $G$3:$G$34, 1),""))</f>
        <v/>
      </c>
      <c r="C32" s="9" t="str">
        <f>IF(NOT(ISBLANK($H32)), IF(($H32+$J32)&gt;$I32,1,0) +IF(($M32+$O32)&gt;$N32,1,0)+IF(($R32+$T32)&gt;$S32,1,0), "")</f>
        <v/>
      </c>
      <c r="D32" s="10" t="str">
        <f>IF(NOT(ISBLANK($H32)),MIN($H32,$J$1*1.5)+IF(NOT(ISBLANK($M32)),MIN($M32,$O$1*1.5),0)+IF(NOT(ISBLANK($R32)),MIN($R32,$T$1*1.5),0), "")</f>
        <v/>
      </c>
      <c r="E32" s="71" t="str">
        <f>IF(NOT(ISBLANK($H32)), MAX($H32 - $J$1*1.5, 0) + IF(NOT(ISBLANK($M32)), MAX($M32 - $O$1*1.5, 0))+ IF(NOT(ISBLANK($R32)), MAX($R32 - $T$1*1.5, 0)), "")</f>
        <v/>
      </c>
      <c r="F32" s="11" t="str">
        <f>IF(NOT(ISBLANK($I32)),$I32+IF(NOT(ISBLANK($N32)), $N32, 0)+IF(NOT(ISBLANK($S32)), $S32, 0), "")</f>
        <v/>
      </c>
      <c r="G32" s="35"/>
      <c r="H32" s="25"/>
      <c r="I32" s="25"/>
      <c r="J32" s="36"/>
      <c r="K32" s="8" t="str">
        <f>IF(ISBLANK(G32), "", G32)</f>
        <v/>
      </c>
      <c r="L32" s="37"/>
      <c r="M32" s="25"/>
      <c r="N32" s="25"/>
      <c r="O32" s="36"/>
      <c r="P32" s="8" t="str">
        <f>CONCATENATE(IF(NOT(ISBLANK(G32)), G32, ""),IF(NOT(ISBLANK(L32)), CONCATENATE(", ", L32), ""))</f>
        <v/>
      </c>
      <c r="Q32" s="37"/>
      <c r="R32" s="25"/>
      <c r="S32" s="25"/>
      <c r="T32" s="36"/>
      <c r="U32" s="43"/>
      <c r="V32" s="44"/>
      <c r="W32" s="3" t="b">
        <f t="shared" si="0"/>
        <v>0</v>
      </c>
      <c r="X32" s="3" t="b">
        <f t="shared" si="1"/>
        <v>0</v>
      </c>
      <c r="Y32" s="3" t="b">
        <f t="shared" si="2"/>
        <v>0</v>
      </c>
      <c r="Z32" s="29">
        <f>Z31</f>
        <v>1</v>
      </c>
    </row>
    <row r="33" spans="1:30" ht="20.45" customHeight="1" x14ac:dyDescent="0.25">
      <c r="A33" s="26"/>
      <c r="B33" s="8" t="str">
        <f>IF(NOT(ISBLANK($H33)),RANK(C33,$C$3:$C$34)+SUMPRODUCT(--($C$3:$C$34=$C33),--(D33&lt;$D$3:$D$34))+SUMPRODUCT(--($C$3:$C$34=$C33),--(D33=$D$3:$D$34),--(E33&lt;$E$3:$E$34))+SUMPRODUCT(--($C$3:$C$34=$C33),--(D33=$D$3:$D$34),--(E33=$E$3:$E$34),--(F33&gt;$F$3:$F$34)),IF(NOT(ISBLANK(G33)),RANK(G33, $G$3:$G$34, 1),""))</f>
        <v/>
      </c>
      <c r="C33" s="9" t="str">
        <f>IF(NOT(ISBLANK($H33)), IF(($H33+$J33)&gt;$I33,1,0) +IF(($M33+$O33)&gt;$N33,1,0)+IF(($R33+$T33)&gt;$S33,1,0), "")</f>
        <v/>
      </c>
      <c r="D33" s="10" t="str">
        <f>IF(NOT(ISBLANK($H33)),MIN($H33,$J$1*1.5)+IF(NOT(ISBLANK($M33)),MIN($M33,$O$1*1.5),0)+IF(NOT(ISBLANK($R33)),MIN($R33,$T$1*1.5),0), "")</f>
        <v/>
      </c>
      <c r="E33" s="71" t="str">
        <f>IF(NOT(ISBLANK($H33)), MAX($H33 - $J$1*1.5, 0) + IF(NOT(ISBLANK($M33)), MAX($M33 - $O$1*1.5, 0))+ IF(NOT(ISBLANK($R33)), MAX($R33 - $T$1*1.5, 0)), "")</f>
        <v/>
      </c>
      <c r="F33" s="11" t="str">
        <f>IF(NOT(ISBLANK($I33)),$I33+IF(NOT(ISBLANK($N33)), $N33, 0)+IF(NOT(ISBLANK($S33)), $S33, 0), "")</f>
        <v/>
      </c>
      <c r="G33" s="37"/>
      <c r="H33" s="25"/>
      <c r="I33" s="25"/>
      <c r="J33" s="36"/>
      <c r="K33" s="8" t="str">
        <f>IF(ISBLANK(G33), "", G33)</f>
        <v/>
      </c>
      <c r="L33" s="37"/>
      <c r="M33" s="25"/>
      <c r="N33" s="25"/>
      <c r="O33" s="36"/>
      <c r="P33" s="8" t="str">
        <f>CONCATENATE(IF(NOT(ISBLANK(G33)), G33, ""),IF(NOT(ISBLANK(L33)), CONCATENATE(", ", L33), ""))</f>
        <v/>
      </c>
      <c r="Q33" s="37"/>
      <c r="R33" s="25"/>
      <c r="S33" s="25"/>
      <c r="T33" s="36"/>
      <c r="U33" s="43"/>
      <c r="V33" s="44"/>
      <c r="W33" s="3" t="b">
        <f t="shared" si="0"/>
        <v>0</v>
      </c>
      <c r="X33" s="3" t="b">
        <f t="shared" si="1"/>
        <v>0</v>
      </c>
      <c r="Y33" s="3" t="b">
        <f t="shared" si="2"/>
        <v>0</v>
      </c>
      <c r="Z33" s="29">
        <f>SUMPRODUCT(1/COUNTIF(AA33:AD33, AA33:AD33))</f>
        <v>1</v>
      </c>
      <c r="AA33" s="29">
        <f>G33</f>
        <v>0</v>
      </c>
      <c r="AB33" s="29">
        <f>L33</f>
        <v>0</v>
      </c>
      <c r="AC33" s="29">
        <f>G34</f>
        <v>0</v>
      </c>
      <c r="AD33" s="29">
        <f>L34</f>
        <v>0</v>
      </c>
    </row>
    <row r="34" spans="1:30" ht="20.45" customHeight="1" thickBot="1" x14ac:dyDescent="0.3">
      <c r="A34" s="26"/>
      <c r="B34" s="12" t="str">
        <f>IF(NOT(ISBLANK($H34)),RANK(C34,$C$3:$C$34)+SUMPRODUCT(--($C$3:$C$34=$C34),--(D34&lt;$D$3:$D$34))+SUMPRODUCT(--($C$3:$C$34=$C34),--(D34=$D$3:$D$34),--(E34&lt;$E$3:$E$34))+SUMPRODUCT(--($C$3:$C$34=$C34),--(D34=$D$3:$D$34),--(E34=$E$3:$E$34),--(F34&gt;$F$3:$F$34)),IF(NOT(ISBLANK(G34)),RANK(G34, $G$3:$G$34, 1),""))</f>
        <v/>
      </c>
      <c r="C34" s="13" t="str">
        <f>IF(NOT(ISBLANK($H34)), IF(($H34+$J34)&gt;$I34,1,0) +IF(($M34+$O34)&gt;$N34,1,0)+IF(($R34+$T34)&gt;$S34,1,0), "")</f>
        <v/>
      </c>
      <c r="D34" s="14" t="str">
        <f>IF(NOT(ISBLANK($H34)),MIN($H34,$J$1*1.5)+IF(NOT(ISBLANK($M34)),MIN($M34,$O$1*1.5),0)+IF(NOT(ISBLANK($R34)),MIN($R34,$T$1*1.5),0), "")</f>
        <v/>
      </c>
      <c r="E34" s="72" t="str">
        <f>IF(NOT(ISBLANK($H34)), MAX($H34 - $J$1*1.5, 0) + IF(NOT(ISBLANK($M34)), MAX($M34 - $O$1*1.5, 0))+ IF(NOT(ISBLANK($R34)), MAX($R34 - $T$1*1.5, 0)), "")</f>
        <v/>
      </c>
      <c r="F34" s="15" t="str">
        <f>IF(NOT(ISBLANK($I34)),$I34+IF(NOT(ISBLANK($N34)), $N34, 0)+IF(NOT(ISBLANK($S34)), $S34, 0), "")</f>
        <v/>
      </c>
      <c r="G34" s="38"/>
      <c r="H34" s="39"/>
      <c r="I34" s="39"/>
      <c r="J34" s="40"/>
      <c r="K34" s="12" t="str">
        <f>IF(ISBLANK(G34), "", G34)</f>
        <v/>
      </c>
      <c r="L34" s="38"/>
      <c r="M34" s="39"/>
      <c r="N34" s="39"/>
      <c r="O34" s="40"/>
      <c r="P34" s="12" t="str">
        <f>CONCATENATE(IF(NOT(ISBLANK(G34)), G34, ""),IF(NOT(ISBLANK(L34)), CONCATENATE(", ", L34), ""))</f>
        <v/>
      </c>
      <c r="Q34" s="38"/>
      <c r="R34" s="39"/>
      <c r="S34" s="39"/>
      <c r="T34" s="40"/>
      <c r="U34" s="45"/>
      <c r="V34" s="46"/>
      <c r="W34" s="3" t="b">
        <f t="shared" si="0"/>
        <v>0</v>
      </c>
      <c r="X34" s="3" t="b">
        <f t="shared" si="1"/>
        <v>0</v>
      </c>
      <c r="Y34" s="3" t="b">
        <f t="shared" si="2"/>
        <v>0</v>
      </c>
      <c r="Z34" s="29">
        <f>Z33</f>
        <v>1</v>
      </c>
    </row>
    <row r="35" spans="1:30" ht="15.6" hidden="1" x14ac:dyDescent="0.3">
      <c r="H35" s="29" t="b">
        <f>AND(COUNTBLANK(H3:I34)&lt;64,MOD(COUNTBLANK(H3:I34),4)=0,OR(SUM(H3:H34)&lt;&gt;SUM(I3:I34), OR(H36:H67)))</f>
        <v>0</v>
      </c>
      <c r="M35" s="29" t="b">
        <f>AND(COUNTBLANK(M3:N34)&lt;64,MOD(COUNTBLANK(M3:N34),4)=0,OR(SUM(M3:M34)&lt;&gt;SUM(N3:N34), OR(M36:M67)))</f>
        <v>0</v>
      </c>
      <c r="R35" s="29" t="b">
        <f>AND(COUNTBLANK(R3:S34)&lt;64,MOD(COUNTBLANK(R3:S34),4)=0,OR(SUM(R3:R34)&lt;&gt;SUM(S3:S34), OR(R36:R67)))</f>
        <v>0</v>
      </c>
      <c r="Y35" s="3" t="b">
        <f t="shared" si="2"/>
        <v>0</v>
      </c>
    </row>
    <row r="36" spans="1:30" ht="15.6" hidden="1" x14ac:dyDescent="0.3">
      <c r="H36" s="29" t="b">
        <f t="shared" ref="H36:H67" si="3">IF(ISBLANK(H3), FALSE, ISERROR(MATCH(H3, $I$3:$I$34,0)))</f>
        <v>0</v>
      </c>
      <c r="M36" s="29" t="b">
        <f>IF(ISBLANK(M3), FALSE, ISERROR(MATCH(M3, $N$3:$N$34,0)))</f>
        <v>0</v>
      </c>
      <c r="R36" s="29" t="b">
        <f>IF(ISBLANK(R3), FALSE, ISERROR(MATCH(R3, $S$3:$S$34,0)))</f>
        <v>0</v>
      </c>
      <c r="Y36" s="3" t="b">
        <f t="shared" si="2"/>
        <v>0</v>
      </c>
    </row>
    <row r="37" spans="1:30" ht="15.6" hidden="1" x14ac:dyDescent="0.3">
      <c r="H37" s="29" t="b">
        <f t="shared" si="3"/>
        <v>0</v>
      </c>
      <c r="M37" s="29" t="b">
        <f t="shared" ref="M37:M67" si="4">IF(ISBLANK(M4), FALSE, ISERROR(MATCH(M4, $N$3:$N$34,0)))</f>
        <v>0</v>
      </c>
      <c r="R37" s="29" t="b">
        <f t="shared" ref="R37:R67" si="5">IF(ISBLANK(R4), FALSE, ISERROR(MATCH(R4, $S$3:$S$34,0)))</f>
        <v>0</v>
      </c>
      <c r="Y37" s="3" t="b">
        <f t="shared" si="2"/>
        <v>0</v>
      </c>
    </row>
    <row r="38" spans="1:30" ht="15.6" hidden="1" x14ac:dyDescent="0.3">
      <c r="H38" s="29" t="b">
        <f t="shared" si="3"/>
        <v>0</v>
      </c>
      <c r="M38" s="29" t="b">
        <f t="shared" si="4"/>
        <v>0</v>
      </c>
      <c r="R38" s="29" t="b">
        <f t="shared" si="5"/>
        <v>0</v>
      </c>
      <c r="Y38" s="3" t="b">
        <f t="shared" si="2"/>
        <v>0</v>
      </c>
    </row>
    <row r="39" spans="1:30" ht="15.6" hidden="1" x14ac:dyDescent="0.3">
      <c r="H39" s="29" t="b">
        <f t="shared" si="3"/>
        <v>0</v>
      </c>
      <c r="M39" s="29" t="b">
        <f t="shared" si="4"/>
        <v>0</v>
      </c>
      <c r="R39" s="29" t="b">
        <f t="shared" si="5"/>
        <v>0</v>
      </c>
      <c r="Y39" s="3" t="b">
        <f t="shared" si="2"/>
        <v>0</v>
      </c>
    </row>
    <row r="40" spans="1:30" ht="15.6" hidden="1" x14ac:dyDescent="0.3">
      <c r="H40" s="29" t="b">
        <f t="shared" si="3"/>
        <v>0</v>
      </c>
      <c r="M40" s="29" t="b">
        <f t="shared" si="4"/>
        <v>0</v>
      </c>
      <c r="R40" s="29" t="b">
        <f t="shared" si="5"/>
        <v>0</v>
      </c>
      <c r="Y40" s="3" t="b">
        <f t="shared" si="2"/>
        <v>0</v>
      </c>
    </row>
    <row r="41" spans="1:30" ht="15.6" hidden="1" x14ac:dyDescent="0.3">
      <c r="H41" s="29" t="b">
        <f t="shared" si="3"/>
        <v>0</v>
      </c>
      <c r="M41" s="29" t="b">
        <f t="shared" si="4"/>
        <v>0</v>
      </c>
      <c r="R41" s="29" t="b">
        <f t="shared" si="5"/>
        <v>0</v>
      </c>
      <c r="Y41" s="3" t="b">
        <f t="shared" si="2"/>
        <v>0</v>
      </c>
    </row>
    <row r="42" spans="1:30" ht="15.6" hidden="1" x14ac:dyDescent="0.3">
      <c r="H42" s="29" t="b">
        <f t="shared" si="3"/>
        <v>0</v>
      </c>
      <c r="M42" s="29" t="b">
        <f t="shared" si="4"/>
        <v>0</v>
      </c>
      <c r="R42" s="29" t="b">
        <f t="shared" si="5"/>
        <v>0</v>
      </c>
      <c r="Y42" s="3" t="b">
        <f t="shared" si="2"/>
        <v>0</v>
      </c>
    </row>
    <row r="43" spans="1:30" ht="15.6" hidden="1" x14ac:dyDescent="0.3">
      <c r="H43" s="29" t="b">
        <f t="shared" si="3"/>
        <v>0</v>
      </c>
      <c r="M43" s="29" t="b">
        <f t="shared" si="4"/>
        <v>0</v>
      </c>
      <c r="R43" s="29" t="b">
        <f t="shared" si="5"/>
        <v>0</v>
      </c>
      <c r="Y43" s="3" t="b">
        <f t="shared" si="2"/>
        <v>0</v>
      </c>
    </row>
    <row r="44" spans="1:30" ht="15.6" hidden="1" x14ac:dyDescent="0.3">
      <c r="H44" s="29" t="b">
        <f t="shared" si="3"/>
        <v>0</v>
      </c>
      <c r="M44" s="29" t="b">
        <f t="shared" si="4"/>
        <v>0</v>
      </c>
      <c r="R44" s="29" t="b">
        <f t="shared" si="5"/>
        <v>0</v>
      </c>
      <c r="Y44" s="3" t="b">
        <f t="shared" si="2"/>
        <v>0</v>
      </c>
    </row>
    <row r="45" spans="1:30" ht="15.6" hidden="1" x14ac:dyDescent="0.3">
      <c r="H45" s="29" t="b">
        <f t="shared" si="3"/>
        <v>0</v>
      </c>
      <c r="M45" s="29" t="b">
        <f t="shared" si="4"/>
        <v>0</v>
      </c>
      <c r="R45" s="29" t="b">
        <f t="shared" si="5"/>
        <v>0</v>
      </c>
      <c r="Y45" s="3" t="b">
        <f t="shared" si="2"/>
        <v>0</v>
      </c>
    </row>
    <row r="46" spans="1:30" ht="15.6" hidden="1" x14ac:dyDescent="0.3">
      <c r="H46" s="29" t="b">
        <f t="shared" si="3"/>
        <v>0</v>
      </c>
      <c r="M46" s="29" t="b">
        <f t="shared" si="4"/>
        <v>0</v>
      </c>
      <c r="R46" s="29" t="b">
        <f t="shared" si="5"/>
        <v>0</v>
      </c>
      <c r="Y46" s="3" t="b">
        <f t="shared" si="2"/>
        <v>0</v>
      </c>
    </row>
    <row r="47" spans="1:30" ht="15.6" hidden="1" x14ac:dyDescent="0.3">
      <c r="H47" s="29" t="b">
        <f t="shared" si="3"/>
        <v>0</v>
      </c>
      <c r="M47" s="29" t="b">
        <f t="shared" si="4"/>
        <v>0</v>
      </c>
      <c r="R47" s="29" t="b">
        <f t="shared" si="5"/>
        <v>0</v>
      </c>
      <c r="Y47" s="3" t="b">
        <f t="shared" si="2"/>
        <v>0</v>
      </c>
    </row>
    <row r="48" spans="1:30" ht="15.6" hidden="1" x14ac:dyDescent="0.3">
      <c r="H48" s="29" t="b">
        <f t="shared" si="3"/>
        <v>0</v>
      </c>
      <c r="M48" s="29" t="b">
        <f t="shared" si="4"/>
        <v>0</v>
      </c>
      <c r="R48" s="29" t="b">
        <f t="shared" si="5"/>
        <v>0</v>
      </c>
      <c r="Y48" s="3" t="b">
        <f t="shared" si="2"/>
        <v>0</v>
      </c>
    </row>
    <row r="49" spans="8:25" ht="15.6" hidden="1" x14ac:dyDescent="0.3">
      <c r="H49" s="29" t="b">
        <f t="shared" si="3"/>
        <v>0</v>
      </c>
      <c r="M49" s="29" t="b">
        <f t="shared" si="4"/>
        <v>0</v>
      </c>
      <c r="R49" s="29" t="b">
        <f t="shared" si="5"/>
        <v>0</v>
      </c>
      <c r="Y49" s="3" t="b">
        <f t="shared" si="2"/>
        <v>0</v>
      </c>
    </row>
    <row r="50" spans="8:25" ht="15.6" hidden="1" x14ac:dyDescent="0.3">
      <c r="H50" s="29" t="b">
        <f t="shared" si="3"/>
        <v>0</v>
      </c>
      <c r="M50" s="29" t="b">
        <f t="shared" si="4"/>
        <v>0</v>
      </c>
      <c r="R50" s="29" t="b">
        <f t="shared" si="5"/>
        <v>0</v>
      </c>
      <c r="Y50" s="3" t="b">
        <f t="shared" si="2"/>
        <v>0</v>
      </c>
    </row>
    <row r="51" spans="8:25" ht="15.6" hidden="1" x14ac:dyDescent="0.3">
      <c r="H51" s="29" t="b">
        <f t="shared" si="3"/>
        <v>0</v>
      </c>
      <c r="M51" s="29" t="b">
        <f t="shared" si="4"/>
        <v>0</v>
      </c>
      <c r="R51" s="29" t="b">
        <f t="shared" si="5"/>
        <v>0</v>
      </c>
      <c r="Y51" s="3" t="b">
        <f t="shared" si="2"/>
        <v>0</v>
      </c>
    </row>
    <row r="52" spans="8:25" ht="15.6" hidden="1" x14ac:dyDescent="0.3">
      <c r="H52" s="29" t="b">
        <f t="shared" si="3"/>
        <v>0</v>
      </c>
      <c r="M52" s="29" t="b">
        <f t="shared" si="4"/>
        <v>0</v>
      </c>
      <c r="R52" s="29" t="b">
        <f t="shared" si="5"/>
        <v>0</v>
      </c>
      <c r="Y52" s="3" t="b">
        <f t="shared" si="2"/>
        <v>0</v>
      </c>
    </row>
    <row r="53" spans="8:25" ht="15.6" hidden="1" x14ac:dyDescent="0.3">
      <c r="H53" s="29" t="b">
        <f t="shared" si="3"/>
        <v>0</v>
      </c>
      <c r="M53" s="29" t="b">
        <f t="shared" si="4"/>
        <v>0</v>
      </c>
      <c r="R53" s="29" t="b">
        <f t="shared" si="5"/>
        <v>0</v>
      </c>
      <c r="Y53" s="3" t="b">
        <f t="shared" si="2"/>
        <v>0</v>
      </c>
    </row>
    <row r="54" spans="8:25" ht="15.6" hidden="1" x14ac:dyDescent="0.3">
      <c r="H54" s="29" t="b">
        <f t="shared" si="3"/>
        <v>0</v>
      </c>
      <c r="M54" s="29" t="b">
        <f t="shared" si="4"/>
        <v>0</v>
      </c>
      <c r="R54" s="29" t="b">
        <f t="shared" si="5"/>
        <v>0</v>
      </c>
      <c r="Y54" s="3" t="b">
        <f t="shared" si="2"/>
        <v>0</v>
      </c>
    </row>
    <row r="55" spans="8:25" ht="15.6" hidden="1" x14ac:dyDescent="0.3">
      <c r="H55" s="29" t="b">
        <f t="shared" si="3"/>
        <v>0</v>
      </c>
      <c r="M55" s="29" t="b">
        <f t="shared" si="4"/>
        <v>0</v>
      </c>
      <c r="R55" s="29" t="b">
        <f t="shared" si="5"/>
        <v>0</v>
      </c>
      <c r="Y55" s="3" t="b">
        <f t="shared" si="2"/>
        <v>0</v>
      </c>
    </row>
    <row r="56" spans="8:25" ht="15.6" hidden="1" x14ac:dyDescent="0.3">
      <c r="H56" s="29" t="b">
        <f t="shared" si="3"/>
        <v>0</v>
      </c>
      <c r="M56" s="29" t="b">
        <f t="shared" si="4"/>
        <v>0</v>
      </c>
      <c r="R56" s="29" t="b">
        <f t="shared" si="5"/>
        <v>0</v>
      </c>
      <c r="Y56" s="3" t="b">
        <f t="shared" si="2"/>
        <v>0</v>
      </c>
    </row>
    <row r="57" spans="8:25" ht="15.6" hidden="1" x14ac:dyDescent="0.3">
      <c r="H57" s="29" t="b">
        <f t="shared" si="3"/>
        <v>0</v>
      </c>
      <c r="M57" s="29" t="b">
        <f t="shared" si="4"/>
        <v>0</v>
      </c>
      <c r="R57" s="29" t="b">
        <f t="shared" si="5"/>
        <v>0</v>
      </c>
      <c r="Y57" s="3" t="b">
        <f t="shared" si="2"/>
        <v>0</v>
      </c>
    </row>
    <row r="58" spans="8:25" ht="15.6" hidden="1" x14ac:dyDescent="0.3">
      <c r="H58" s="29" t="b">
        <f t="shared" si="3"/>
        <v>0</v>
      </c>
      <c r="M58" s="29" t="b">
        <f t="shared" si="4"/>
        <v>0</v>
      </c>
      <c r="R58" s="29" t="b">
        <f t="shared" si="5"/>
        <v>0</v>
      </c>
      <c r="Y58" s="3" t="b">
        <f t="shared" si="2"/>
        <v>0</v>
      </c>
    </row>
    <row r="59" spans="8:25" ht="15.6" hidden="1" x14ac:dyDescent="0.3">
      <c r="H59" s="29" t="b">
        <f t="shared" si="3"/>
        <v>0</v>
      </c>
      <c r="M59" s="29" t="b">
        <f t="shared" si="4"/>
        <v>0</v>
      </c>
      <c r="R59" s="29" t="b">
        <f t="shared" si="5"/>
        <v>0</v>
      </c>
      <c r="Y59" s="3" t="b">
        <f t="shared" si="2"/>
        <v>0</v>
      </c>
    </row>
    <row r="60" spans="8:25" ht="15.6" hidden="1" x14ac:dyDescent="0.3">
      <c r="H60" s="29" t="b">
        <f t="shared" si="3"/>
        <v>0</v>
      </c>
      <c r="M60" s="29" t="b">
        <f t="shared" si="4"/>
        <v>0</v>
      </c>
      <c r="R60" s="29" t="b">
        <f t="shared" si="5"/>
        <v>0</v>
      </c>
      <c r="Y60" s="3" t="b">
        <f t="shared" si="2"/>
        <v>0</v>
      </c>
    </row>
    <row r="61" spans="8:25" ht="15.6" hidden="1" x14ac:dyDescent="0.3">
      <c r="H61" s="29" t="b">
        <f t="shared" si="3"/>
        <v>0</v>
      </c>
      <c r="M61" s="29" t="b">
        <f t="shared" si="4"/>
        <v>0</v>
      </c>
      <c r="R61" s="29" t="b">
        <f t="shared" si="5"/>
        <v>0</v>
      </c>
      <c r="Y61" s="3" t="b">
        <f t="shared" si="2"/>
        <v>0</v>
      </c>
    </row>
    <row r="62" spans="8:25" ht="15.6" hidden="1" x14ac:dyDescent="0.3">
      <c r="H62" s="29" t="b">
        <f t="shared" si="3"/>
        <v>0</v>
      </c>
      <c r="M62" s="29" t="b">
        <f t="shared" si="4"/>
        <v>0</v>
      </c>
      <c r="R62" s="29" t="b">
        <f t="shared" si="5"/>
        <v>0</v>
      </c>
      <c r="Y62" s="3" t="b">
        <f t="shared" si="2"/>
        <v>0</v>
      </c>
    </row>
    <row r="63" spans="8:25" ht="15.6" hidden="1" x14ac:dyDescent="0.3">
      <c r="H63" s="29" t="b">
        <f t="shared" si="3"/>
        <v>0</v>
      </c>
      <c r="M63" s="29" t="b">
        <f t="shared" si="4"/>
        <v>0</v>
      </c>
      <c r="R63" s="29" t="b">
        <f t="shared" si="5"/>
        <v>0</v>
      </c>
      <c r="Y63" s="3" t="b">
        <f t="shared" si="2"/>
        <v>0</v>
      </c>
    </row>
    <row r="64" spans="8:25" ht="15.6" hidden="1" x14ac:dyDescent="0.3">
      <c r="H64" s="29" t="b">
        <f t="shared" si="3"/>
        <v>0</v>
      </c>
      <c r="M64" s="29" t="b">
        <f t="shared" si="4"/>
        <v>0</v>
      </c>
      <c r="R64" s="29" t="b">
        <f t="shared" si="5"/>
        <v>0</v>
      </c>
      <c r="Y64" s="3" t="b">
        <f t="shared" si="2"/>
        <v>0</v>
      </c>
    </row>
    <row r="65" spans="1:25" ht="15.6" hidden="1" x14ac:dyDescent="0.3">
      <c r="H65" s="29" t="b">
        <f t="shared" si="3"/>
        <v>0</v>
      </c>
      <c r="M65" s="29" t="b">
        <f t="shared" si="4"/>
        <v>0</v>
      </c>
      <c r="R65" s="29" t="b">
        <f t="shared" si="5"/>
        <v>0</v>
      </c>
      <c r="Y65" s="3" t="b">
        <f t="shared" si="2"/>
        <v>0</v>
      </c>
    </row>
    <row r="66" spans="1:25" ht="15.6" hidden="1" x14ac:dyDescent="0.3">
      <c r="H66" s="29" t="b">
        <f>IF(ISBLANK(H33), FALSE, ISERROR(MATCH(H33, $I$3:$I$34,0)))</f>
        <v>0</v>
      </c>
      <c r="M66" s="29" t="b">
        <f t="shared" si="4"/>
        <v>0</v>
      </c>
      <c r="R66" s="29" t="b">
        <f t="shared" si="5"/>
        <v>0</v>
      </c>
      <c r="Y66" s="3" t="b">
        <f t="shared" si="2"/>
        <v>0</v>
      </c>
    </row>
    <row r="67" spans="1:25" ht="15.6" hidden="1" x14ac:dyDescent="0.3">
      <c r="H67" s="29" t="b">
        <f t="shared" si="3"/>
        <v>0</v>
      </c>
      <c r="M67" s="29" t="b">
        <f t="shared" si="4"/>
        <v>0</v>
      </c>
      <c r="R67" s="29" t="b">
        <f t="shared" si="5"/>
        <v>0</v>
      </c>
      <c r="Y67" s="3" t="b">
        <f t="shared" si="2"/>
        <v>0</v>
      </c>
    </row>
    <row r="68" spans="1:25" hidden="1" x14ac:dyDescent="0.25"/>
    <row r="69" spans="1:25" hidden="1" x14ac:dyDescent="0.25">
      <c r="A69" s="75" t="b">
        <v>0</v>
      </c>
    </row>
    <row r="235" spans="8:8" x14ac:dyDescent="0.25">
      <c r="H235" s="29" t="str">
        <f t="shared" ref="H235:H258" si="6">IF(ISERROR(MATCH(H202, $I$3:$I$34,0)), "", H202)</f>
        <v/>
      </c>
    </row>
    <row r="236" spans="8:8" x14ac:dyDescent="0.25">
      <c r="H236" s="29" t="str">
        <f t="shared" si="6"/>
        <v/>
      </c>
    </row>
    <row r="237" spans="8:8" x14ac:dyDescent="0.25">
      <c r="H237" s="29" t="str">
        <f t="shared" si="6"/>
        <v/>
      </c>
    </row>
    <row r="238" spans="8:8" x14ac:dyDescent="0.25">
      <c r="H238" s="29" t="str">
        <f t="shared" si="6"/>
        <v/>
      </c>
    </row>
    <row r="239" spans="8:8" x14ac:dyDescent="0.25">
      <c r="H239" s="29" t="str">
        <f t="shared" si="6"/>
        <v/>
      </c>
    </row>
    <row r="240" spans="8:8" x14ac:dyDescent="0.25">
      <c r="H240" s="29" t="str">
        <f t="shared" si="6"/>
        <v/>
      </c>
    </row>
    <row r="241" spans="8:8" x14ac:dyDescent="0.25">
      <c r="H241" s="29" t="str">
        <f t="shared" si="6"/>
        <v/>
      </c>
    </row>
    <row r="242" spans="8:8" x14ac:dyDescent="0.25">
      <c r="H242" s="29" t="str">
        <f t="shared" si="6"/>
        <v/>
      </c>
    </row>
    <row r="243" spans="8:8" x14ac:dyDescent="0.25">
      <c r="H243" s="29" t="str">
        <f t="shared" si="6"/>
        <v/>
      </c>
    </row>
    <row r="244" spans="8:8" x14ac:dyDescent="0.25">
      <c r="H244" s="29" t="str">
        <f t="shared" si="6"/>
        <v/>
      </c>
    </row>
    <row r="245" spans="8:8" x14ac:dyDescent="0.25">
      <c r="H245" s="29" t="str">
        <f t="shared" si="6"/>
        <v/>
      </c>
    </row>
    <row r="246" spans="8:8" x14ac:dyDescent="0.25">
      <c r="H246" s="29" t="str">
        <f t="shared" si="6"/>
        <v/>
      </c>
    </row>
    <row r="247" spans="8:8" x14ac:dyDescent="0.25">
      <c r="H247" s="29" t="str">
        <f t="shared" si="6"/>
        <v/>
      </c>
    </row>
    <row r="248" spans="8:8" x14ac:dyDescent="0.25">
      <c r="H248" s="29" t="str">
        <f t="shared" si="6"/>
        <v/>
      </c>
    </row>
    <row r="249" spans="8:8" x14ac:dyDescent="0.25">
      <c r="H249" s="29" t="str">
        <f t="shared" si="6"/>
        <v/>
      </c>
    </row>
    <row r="250" spans="8:8" x14ac:dyDescent="0.25">
      <c r="H250" s="29" t="str">
        <f t="shared" si="6"/>
        <v/>
      </c>
    </row>
    <row r="251" spans="8:8" x14ac:dyDescent="0.25">
      <c r="H251" s="29" t="str">
        <f t="shared" si="6"/>
        <v/>
      </c>
    </row>
    <row r="252" spans="8:8" x14ac:dyDescent="0.25">
      <c r="H252" s="29" t="str">
        <f t="shared" si="6"/>
        <v/>
      </c>
    </row>
    <row r="253" spans="8:8" x14ac:dyDescent="0.25">
      <c r="H253" s="29" t="str">
        <f t="shared" si="6"/>
        <v/>
      </c>
    </row>
    <row r="254" spans="8:8" x14ac:dyDescent="0.25">
      <c r="H254" s="29" t="str">
        <f t="shared" si="6"/>
        <v/>
      </c>
    </row>
    <row r="255" spans="8:8" x14ac:dyDescent="0.25">
      <c r="H255" s="29" t="str">
        <f t="shared" si="6"/>
        <v/>
      </c>
    </row>
    <row r="256" spans="8:8" x14ac:dyDescent="0.25">
      <c r="H256" s="29" t="str">
        <f t="shared" si="6"/>
        <v/>
      </c>
    </row>
    <row r="257" spans="8:8" x14ac:dyDescent="0.25">
      <c r="H257" s="29" t="str">
        <f t="shared" si="6"/>
        <v/>
      </c>
    </row>
    <row r="258" spans="8:8" x14ac:dyDescent="0.25">
      <c r="H258" s="29" t="str">
        <f t="shared" si="6"/>
        <v/>
      </c>
    </row>
  </sheetData>
  <sheetProtection sheet="1" objects="1" scenarios="1" selectLockedCells="1"/>
  <sortState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M5:N34 N3:N4">
    <cfRule type="expression" dxfId="39" priority="51">
      <formula>$M$35</formula>
    </cfRule>
  </conditionalFormatting>
  <conditionalFormatting sqref="R3:S34">
    <cfRule type="expression" dxfId="38" priority="50">
      <formula>$R$35</formula>
    </cfRule>
  </conditionalFormatting>
  <conditionalFormatting sqref="P3">
    <cfRule type="expression" dxfId="37" priority="40">
      <formula>$Y3</formula>
    </cfRule>
  </conditionalFormatting>
  <conditionalFormatting sqref="P4">
    <cfRule type="expression" dxfId="36" priority="39">
      <formula>$Y4</formula>
    </cfRule>
  </conditionalFormatting>
  <conditionalFormatting sqref="P5">
    <cfRule type="expression" dxfId="35" priority="38">
      <formula>$Y5</formula>
    </cfRule>
  </conditionalFormatting>
  <conditionalFormatting sqref="P6">
    <cfRule type="expression" dxfId="34" priority="37">
      <formula>$Y6</formula>
    </cfRule>
  </conditionalFormatting>
  <conditionalFormatting sqref="P7">
    <cfRule type="expression" dxfId="33" priority="36">
      <formula>$Y7</formula>
    </cfRule>
  </conditionalFormatting>
  <conditionalFormatting sqref="P8">
    <cfRule type="expression" dxfId="32" priority="35">
      <formula>$Y8</formula>
    </cfRule>
  </conditionalFormatting>
  <conditionalFormatting sqref="P9">
    <cfRule type="expression" dxfId="31" priority="34">
      <formula>$Y9</formula>
    </cfRule>
  </conditionalFormatting>
  <conditionalFormatting sqref="P10">
    <cfRule type="expression" dxfId="30" priority="33">
      <formula>$Y10</formula>
    </cfRule>
  </conditionalFormatting>
  <conditionalFormatting sqref="P11">
    <cfRule type="expression" dxfId="29" priority="32">
      <formula>$Y11</formula>
    </cfRule>
  </conditionalFormatting>
  <conditionalFormatting sqref="P12">
    <cfRule type="expression" dxfId="28" priority="31">
      <formula>$Y12</formula>
    </cfRule>
  </conditionalFormatting>
  <conditionalFormatting sqref="P13">
    <cfRule type="expression" dxfId="27" priority="30">
      <formula>$Y13</formula>
    </cfRule>
  </conditionalFormatting>
  <conditionalFormatting sqref="P14">
    <cfRule type="expression" dxfId="26" priority="29">
      <formula>$Y14</formula>
    </cfRule>
  </conditionalFormatting>
  <conditionalFormatting sqref="P15">
    <cfRule type="expression" dxfId="25" priority="28">
      <formula>$Y15</formula>
    </cfRule>
  </conditionalFormatting>
  <conditionalFormatting sqref="P16">
    <cfRule type="expression" dxfId="24" priority="27">
      <formula>$Y16</formula>
    </cfRule>
  </conditionalFormatting>
  <conditionalFormatting sqref="P17">
    <cfRule type="expression" dxfId="23" priority="26">
      <formula>$Y17</formula>
    </cfRule>
  </conditionalFormatting>
  <conditionalFormatting sqref="P18">
    <cfRule type="expression" dxfId="22" priority="24">
      <formula>$Y18</formula>
    </cfRule>
  </conditionalFormatting>
  <conditionalFormatting sqref="P19">
    <cfRule type="expression" dxfId="21" priority="23">
      <formula>$Y19</formula>
    </cfRule>
  </conditionalFormatting>
  <conditionalFormatting sqref="P20">
    <cfRule type="expression" dxfId="20" priority="22">
      <formula>$Y20</formula>
    </cfRule>
  </conditionalFormatting>
  <conditionalFormatting sqref="P21">
    <cfRule type="expression" dxfId="19" priority="21">
      <formula>$Y21</formula>
    </cfRule>
  </conditionalFormatting>
  <conditionalFormatting sqref="P22">
    <cfRule type="expression" dxfId="18" priority="20">
      <formula>$Y22</formula>
    </cfRule>
  </conditionalFormatting>
  <conditionalFormatting sqref="P23">
    <cfRule type="expression" dxfId="17" priority="19">
      <formula>$Y23</formula>
    </cfRule>
  </conditionalFormatting>
  <conditionalFormatting sqref="P24">
    <cfRule type="expression" dxfId="16" priority="18">
      <formula>$Y24</formula>
    </cfRule>
  </conditionalFormatting>
  <conditionalFormatting sqref="P25">
    <cfRule type="expression" dxfId="15" priority="17">
      <formula>$Y25</formula>
    </cfRule>
  </conditionalFormatting>
  <conditionalFormatting sqref="P26">
    <cfRule type="expression" dxfId="14" priority="16">
      <formula>$Y26</formula>
    </cfRule>
  </conditionalFormatting>
  <conditionalFormatting sqref="P27">
    <cfRule type="expression" dxfId="13" priority="15">
      <formula>$Y27</formula>
    </cfRule>
  </conditionalFormatting>
  <conditionalFormatting sqref="P28">
    <cfRule type="expression" dxfId="12" priority="14">
      <formula>$Y28</formula>
    </cfRule>
  </conditionalFormatting>
  <conditionalFormatting sqref="P29">
    <cfRule type="expression" dxfId="11" priority="13">
      <formula>$Y29</formula>
    </cfRule>
  </conditionalFormatting>
  <conditionalFormatting sqref="P30">
    <cfRule type="expression" dxfId="10" priority="12">
      <formula>$Y30</formula>
    </cfRule>
  </conditionalFormatting>
  <conditionalFormatting sqref="P31">
    <cfRule type="expression" dxfId="9" priority="11">
      <formula>$Y31</formula>
    </cfRule>
  </conditionalFormatting>
  <conditionalFormatting sqref="P32">
    <cfRule type="expression" dxfId="8" priority="9">
      <formula>$Y32</formula>
    </cfRule>
  </conditionalFormatting>
  <conditionalFormatting sqref="P33">
    <cfRule type="expression" dxfId="7" priority="8">
      <formula>$Y33</formula>
    </cfRule>
  </conditionalFormatting>
  <conditionalFormatting sqref="P34">
    <cfRule type="expression" dxfId="6" priority="7">
      <formula>$Y34</formula>
    </cfRule>
  </conditionalFormatting>
  <conditionalFormatting sqref="H3:I34">
    <cfRule type="expression" dxfId="5" priority="6">
      <formula>$H$35</formula>
    </cfRule>
  </conditionalFormatting>
  <conditionalFormatting sqref="M3:M4">
    <cfRule type="expression" dxfId="4" priority="5">
      <formula>$M$35</formula>
    </cfRule>
  </conditionalFormatting>
  <conditionalFormatting sqref="L3">
    <cfRule type="expression" dxfId="3" priority="4">
      <formula>$W3</formula>
    </cfRule>
  </conditionalFormatting>
  <conditionalFormatting sqref="L4:L34">
    <cfRule type="expression" dxfId="2" priority="3">
      <formula>$W4</formula>
    </cfRule>
  </conditionalFormatting>
  <conditionalFormatting sqref="Q3">
    <cfRule type="expression" dxfId="1" priority="2">
      <formula>$X3</formula>
    </cfRule>
  </conditionalFormatting>
  <conditionalFormatting sqref="Q4:Q34">
    <cfRule type="expression" dxfId="0" priority="1">
      <formula>$X4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 macro="[0]!CheckBox1_Click">
                <anchor moveWithCells="1">
                  <from>
                    <xdr:col>0</xdr:col>
                    <xdr:colOff>200025</xdr:colOff>
                    <xdr:row>0</xdr:row>
                    <xdr:rowOff>0</xdr:rowOff>
                  </from>
                  <to>
                    <xdr:col>0</xdr:col>
                    <xdr:colOff>2057400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8"/>
  <sheetViews>
    <sheetView showGridLines="0" showRowColHeaders="0" zoomScaleNormal="100" workbookViewId="0">
      <selection activeCell="A20" sqref="A20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  <col min="15" max="15" width="0" hidden="1" customWidth="1"/>
  </cols>
  <sheetData>
    <row r="1" spans="1: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5" ht="24" customHeight="1" thickTop="1" x14ac:dyDescent="0.25">
      <c r="A2" s="97">
        <v>1</v>
      </c>
      <c r="B2" s="55" t="str">
        <f t="array" ref="B2">IFERROR(INDEX(Teams, SMALL(IF(Rink1 = $A$2, ROW(Rink1) - ROW(INDEX(Rink1,1,1)) + 1), 1)), "")</f>
        <v/>
      </c>
      <c r="C2" s="51" t="str">
        <f t="array" ref="C2">IFERROR(INDEX(Wins, MATCH(B2, Teams, 0)), "")</f>
        <v/>
      </c>
      <c r="D2" s="51" t="str">
        <f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G2" s="74"/>
      <c r="H2" s="101">
        <v>9</v>
      </c>
      <c r="I2" s="55" t="str">
        <f t="array" ref="I2">IFERROR(INDEX(Teams, SMALL(IF(Rink1 = $H$2, ROW(Rink1) - ROW(INDEX(Rink1,1,1))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51" t="str">
        <f t="array" ref="M2">IFERROR(INDEX(Against, MATCH(I2, Teams, 0)),"")</f>
        <v/>
      </c>
      <c r="N2" s="73"/>
    </row>
    <row r="3" spans="1:15" ht="24" customHeight="1" thickBot="1" x14ac:dyDescent="0.3">
      <c r="A3" s="98"/>
      <c r="B3" s="56" t="str">
        <f t="array" ref="B3">IFERROR(INDEX(Teams, SMALL(IF(Rink1 = $A$2, ROW(Rink1) - ROW(INDEX(Rink1,1,1))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G3" s="74"/>
      <c r="H3" s="102"/>
      <c r="I3" s="56" t="str">
        <f t="array" ref="I3">IFERROR(INDEX(Teams, SMALL(IF(Rink1 = $H$2, ROW(Rink1) - ROW(INDEX(Rink1,1,1))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52" t="str">
        <f t="array" ref="M3">IFERROR(INDEX(Against, MATCH(I3, Teams, 0)),"")</f>
        <v/>
      </c>
      <c r="N3" s="73"/>
      <c r="O3" t="b">
        <v>0</v>
      </c>
    </row>
    <row r="4" spans="1:15" ht="24" customHeight="1" thickTop="1" x14ac:dyDescent="0.25">
      <c r="A4" s="99">
        <v>2</v>
      </c>
      <c r="B4" s="57" t="str">
        <f t="array" ref="B4">IFERROR(INDEX(Teams, SMALL(IF(Rink1 = $A$4, ROW(Rink1) - ROW(INDEX(Rink1,1,1))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G4" s="74"/>
      <c r="H4" s="103">
        <v>10</v>
      </c>
      <c r="I4" s="57" t="str">
        <f t="array" ref="I4">IFERROR(INDEX(Teams, SMALL(IF(Rink1 = $H$4, ROW(Rink1) - ROW(INDEX(Rink1,1,1))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53" t="str">
        <f t="array" ref="M4">IFERROR(INDEX(Against, MATCH(I4, Teams, 0)),"")</f>
        <v/>
      </c>
      <c r="N4" s="73"/>
    </row>
    <row r="5" spans="1:15" ht="24" customHeight="1" thickBot="1" x14ac:dyDescent="0.3">
      <c r="A5" s="100"/>
      <c r="B5" s="58" t="str">
        <f t="array" ref="B5">IFERROR(INDEX(Teams, SMALL(IF(Rink1 = $A$4, ROW(Rink1) - ROW(INDEX(Rink1,1,1))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G5" s="74"/>
      <c r="H5" s="104"/>
      <c r="I5" s="58" t="str">
        <f t="array" ref="I5">IFERROR(INDEX(Teams, SMALL(IF(Rink1 = $H$4, ROW(Rink1) - ROW(INDEX(Rink1,1,1))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5" t="str">
        <f t="array" ref="M5">IFERROR(INDEX(Against, MATCH(I5, Teams, 0)),"")</f>
        <v/>
      </c>
      <c r="N5" s="73"/>
    </row>
    <row r="6" spans="1:15" ht="24" customHeight="1" thickTop="1" x14ac:dyDescent="0.25">
      <c r="A6" s="97">
        <v>3</v>
      </c>
      <c r="B6" s="55" t="str">
        <f t="array" ref="B6">IFERROR(INDEX(Teams, SMALL(IF(Rink1 = $A$6, ROW(Rink1) - ROW(INDEX(Rink1,1,1))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G6" s="74"/>
      <c r="H6" s="101">
        <v>11</v>
      </c>
      <c r="I6" s="55" t="str">
        <f t="array" ref="I6">IFERROR(INDEX(Teams, SMALL(IF(Rink1 = $H$6, ROW(Rink1) - ROW(INDEX(Rink1,1,1))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51" t="str">
        <f t="array" ref="M6">IFERROR(INDEX(Against, MATCH(I6, Teams, 0)),"")</f>
        <v/>
      </c>
      <c r="N6" s="73"/>
    </row>
    <row r="7" spans="1:15" ht="24" customHeight="1" thickBot="1" x14ac:dyDescent="0.3">
      <c r="A7" s="98"/>
      <c r="B7" s="56" t="str">
        <f t="array" ref="B7">IFERROR(INDEX(Teams, SMALL(IF(Rink1 = $A$6, ROW(Rink1) - ROW(INDEX(Rink1,1,1))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G7" s="74"/>
      <c r="H7" s="102"/>
      <c r="I7" s="56" t="str">
        <f t="array" ref="I7">IFERROR(INDEX(Teams, SMALL(IF(Rink1 = $H$6, ROW(Rink1) - ROW(INDEX(Rink1,1,1))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52" t="str">
        <f t="array" ref="M7">IFERROR(INDEX(Against, MATCH(I7, Teams, 0)),"")</f>
        <v/>
      </c>
      <c r="N7" s="73"/>
    </row>
    <row r="8" spans="1:15" ht="24" customHeight="1" thickTop="1" x14ac:dyDescent="0.25">
      <c r="A8" s="99">
        <v>4</v>
      </c>
      <c r="B8" s="57" t="str">
        <f t="array" ref="B8">IFERROR(INDEX(Teams, SMALL(IF(Rink1 = $A$8, ROW(Rink1) - ROW(INDEX(Rink1,1,1))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G8" s="74"/>
      <c r="H8" s="103">
        <v>12</v>
      </c>
      <c r="I8" s="57" t="str">
        <f t="array" ref="I8">IFERROR(INDEX(Teams, SMALL(IF(Rink1 = $H$8, ROW(Rink1) - ROW(INDEX(Rink1,1,1))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53" t="str">
        <f t="array" ref="M8">IFERROR(INDEX(Against, MATCH(I8, Teams, 0)),"")</f>
        <v/>
      </c>
      <c r="N8" s="73"/>
    </row>
    <row r="9" spans="1:15" ht="24" customHeight="1" thickBot="1" x14ac:dyDescent="0.3">
      <c r="A9" s="100"/>
      <c r="B9" s="58" t="str">
        <f t="array" ref="B9">IFERROR(INDEX(Teams, SMALL(IF(Rink1 = $A$8, ROW(Rink1) - ROW(INDEX(Rink1,1,1))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G9" s="74"/>
      <c r="H9" s="104"/>
      <c r="I9" s="58" t="str">
        <f t="array" ref="I9">IFERROR(INDEX(Teams, SMALL(IF(Rink1 = $H$8, ROW(Rink1) - ROW(INDEX(Rink1,1,1))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5" t="str">
        <f t="array" ref="M9">IFERROR(INDEX(Against, MATCH(I9, Teams, 0)),"")</f>
        <v/>
      </c>
      <c r="N9" s="73"/>
    </row>
    <row r="10" spans="1:15" ht="24" customHeight="1" thickTop="1" x14ac:dyDescent="0.25">
      <c r="A10" s="97">
        <v>5</v>
      </c>
      <c r="B10" s="55" t="str">
        <f t="array" ref="B10">IFERROR(INDEX(Teams, SMALL(IF(Rink1 = $A$10, ROW(Rink1) - ROW(INDEX(Rink1,1,1))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G10" s="74"/>
      <c r="H10" s="101">
        <v>13</v>
      </c>
      <c r="I10" s="55" t="str">
        <f t="array" ref="I10">IFERROR(INDEX(Teams, SMALL(IF(Rink1 = $H$10, ROW(Rink1) - ROW(INDEX(Rink1,1,1))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51" t="str">
        <f t="array" ref="M10">IFERROR(INDEX(Against, MATCH(I10, Teams, 0)),"")</f>
        <v/>
      </c>
      <c r="N10" s="73"/>
    </row>
    <row r="11" spans="1:15" ht="24" customHeight="1" thickBot="1" x14ac:dyDescent="0.3">
      <c r="A11" s="98"/>
      <c r="B11" s="56" t="str">
        <f t="array" ref="B11">IFERROR(INDEX(Teams, SMALL(IF(Rink1 = $A$10, ROW(Rink1) - ROW(INDEX(Rink1,1,1))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G11" s="74"/>
      <c r="H11" s="102"/>
      <c r="I11" s="56" t="str">
        <f t="array" ref="I11">IFERROR(INDEX(Teams, SMALL(IF(Rink1 = $H$10, ROW(Rink1) - ROW(INDEX(Rink1,1,1))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52" t="str">
        <f t="array" ref="M11">IFERROR(INDEX(Against, MATCH(I11, Teams, 0)),"")</f>
        <v/>
      </c>
      <c r="N11" s="73"/>
    </row>
    <row r="12" spans="1:15" ht="24" customHeight="1" thickTop="1" x14ac:dyDescent="0.25">
      <c r="A12" s="99">
        <v>6</v>
      </c>
      <c r="B12" s="57" t="str">
        <f t="array" ref="B12">IFERROR(INDEX(Teams, SMALL(IF(Rink1 = $A$12, ROW(Rink1) - ROW(INDEX(Rink1,1,1))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G12" s="74"/>
      <c r="H12" s="103">
        <v>14</v>
      </c>
      <c r="I12" s="57" t="str">
        <f t="array" ref="I12">IFERROR(INDEX(Teams, SMALL(IF(Rink1 = $H$12, ROW(Rink1) - ROW(INDEX(Rink1,1,1))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53" t="str">
        <f t="array" ref="M12">IFERROR(INDEX(Against, MATCH(I12, Teams, 0)),"")</f>
        <v/>
      </c>
      <c r="N12" s="73"/>
    </row>
    <row r="13" spans="1:15" ht="24" customHeight="1" thickBot="1" x14ac:dyDescent="0.3">
      <c r="A13" s="100"/>
      <c r="B13" s="58" t="str">
        <f t="array" ref="B13">IFERROR(INDEX(Teams, SMALL(IF(Rink1 = $A$12, ROW(Rink1) - ROW(INDEX(Rink1,1,1))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G13" s="74"/>
      <c r="H13" s="104"/>
      <c r="I13" s="58" t="str">
        <f t="array" ref="I13">IFERROR(INDEX(Teams, SMALL(IF(Rink1 = $H$12, ROW(Rink1) - ROW(INDEX(Rink1,1,1))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5" t="str">
        <f t="array" ref="M13">IFERROR(INDEX(Against, MATCH(I13, Teams, 0)),"")</f>
        <v/>
      </c>
      <c r="N13" s="73"/>
    </row>
    <row r="14" spans="1:15" ht="24" customHeight="1" thickTop="1" x14ac:dyDescent="0.25">
      <c r="A14" s="97">
        <v>7</v>
      </c>
      <c r="B14" s="55" t="str">
        <f t="array" ref="B14">IFERROR(INDEX(Teams, SMALL(IF(Rink1 = $A$14, ROW(Rink1) - ROW(INDEX(Rink1,1,1))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G14" s="74"/>
      <c r="H14" s="101">
        <v>15</v>
      </c>
      <c r="I14" s="55" t="str">
        <f t="array" ref="I14">IFERROR(INDEX(Teams, SMALL(IF(Rink1 = $H$14, ROW(Rink1) - ROW(INDEX(Rink1,1,1))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51" t="str">
        <f t="array" ref="M14">IFERROR(INDEX(Against, MATCH(I14, Teams, 0)),"")</f>
        <v/>
      </c>
      <c r="N14" s="73"/>
    </row>
    <row r="15" spans="1:15" ht="24" customHeight="1" thickBot="1" x14ac:dyDescent="0.3">
      <c r="A15" s="98"/>
      <c r="B15" s="56" t="str">
        <f t="array" ref="B15">IFERROR(INDEX(Teams, SMALL(IF(Rink1 = $A$14, ROW(Rink1) - ROW(INDEX(Rink1,1,1))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G15" s="74"/>
      <c r="H15" s="102"/>
      <c r="I15" s="56" t="str">
        <f t="array" ref="I15">IFERROR(INDEX(Teams, SMALL(IF(Rink1 = $H$14, ROW(Rink1) - ROW(INDEX(Rink1,1,1))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52" t="str">
        <f t="array" ref="M15">IFERROR(INDEX(Against, MATCH(I15, Teams, 0)),"")</f>
        <v/>
      </c>
      <c r="N15" s="73"/>
    </row>
    <row r="16" spans="1:15" ht="24" customHeight="1" thickTop="1" x14ac:dyDescent="0.25">
      <c r="A16" s="99">
        <v>8</v>
      </c>
      <c r="B16" s="57" t="str">
        <f t="array" ref="B16">IFERROR(INDEX(Teams, SMALL(IF(Rink1 = $A$16, ROW(Rink1) - ROW(INDEX(Rink1,1,1))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G16" s="74"/>
      <c r="H16" s="103">
        <v>16</v>
      </c>
      <c r="I16" s="57" t="str">
        <f t="array" ref="I16">IFERROR(INDEX(Teams, SMALL(IF(Rink1 = $H$16, ROW(Rink1) - ROW(INDEX(Rink1,1,1))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53" t="str">
        <f t="array" ref="M16">IFERROR(INDEX(Against, MATCH(I16, Teams, 0)),"")</f>
        <v/>
      </c>
      <c r="N16" s="73"/>
    </row>
    <row r="17" spans="1:14" ht="24" customHeight="1" thickBot="1" x14ac:dyDescent="0.3">
      <c r="A17" s="100"/>
      <c r="B17" s="58" t="str">
        <f t="array" ref="B17">IFERROR(INDEX(Teams, SMALL(IF(Rink1 = $A$16, ROW(Rink1) - ROW(INDEX(Rink1,1,1))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G17" s="74"/>
      <c r="H17" s="104"/>
      <c r="I17" s="58" t="str">
        <f t="array" ref="I17">IFERROR(INDEX(Teams, SMALL(IF(Rink1 = $H$16, ROW(Rink1) - ROW(INDEX(Rink1,1,1))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54" t="str">
        <f t="array" ref="M17">IFERROR(INDEX(Against, MATCH(I17, Teams, 0)),"")</f>
        <v/>
      </c>
      <c r="N17" s="73"/>
    </row>
    <row r="18" spans="1:14" ht="15.75" thickTop="1" x14ac:dyDescent="0.25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14:A15"/>
    <mergeCell ref="A16:A17"/>
    <mergeCell ref="H2:H3"/>
    <mergeCell ref="H4:H5"/>
    <mergeCell ref="H6:H7"/>
    <mergeCell ref="H8:H9"/>
    <mergeCell ref="H10:H11"/>
    <mergeCell ref="H12:H13"/>
    <mergeCell ref="H14:H15"/>
    <mergeCell ref="H16:H17"/>
    <mergeCell ref="A2:A3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8"/>
  <sheetViews>
    <sheetView showGridLines="0" showRowColHeaders="0" workbookViewId="0">
      <selection activeCell="I21" sqref="I21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  <col min="15" max="15" width="0" hidden="1" customWidth="1"/>
  </cols>
  <sheetData>
    <row r="1" spans="1:15" ht="15" customHeight="1" thickBot="1" x14ac:dyDescent="0.3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5" ht="24" customHeight="1" thickTop="1" x14ac:dyDescent="0.25">
      <c r="A2" s="97">
        <v>1</v>
      </c>
      <c r="B2" s="55" t="str">
        <f t="array" ref="B2">IFERROR(INDEX(Teams, SMALL(IF(Rink2 = $A$2, ROW(Rink2) - ROW(INDEX(Rink2,1,1))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G2" s="74"/>
      <c r="H2" s="101">
        <v>9</v>
      </c>
      <c r="I2" s="55" t="str">
        <f t="array" ref="I2">IFERROR(INDEX(Teams, SMALL(IF(Rink2 = $H$2, ROW(Rink2) - ROW(INDEX(Rink2,1,1))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51" t="str">
        <f t="array" ref="M2">IFERROR(INDEX(Against, MATCH(I2, Teams, 0)),"")</f>
        <v/>
      </c>
      <c r="N2" s="73"/>
    </row>
    <row r="3" spans="1:15" ht="24" customHeight="1" thickBot="1" x14ac:dyDescent="0.3">
      <c r="A3" s="98"/>
      <c r="B3" s="56" t="str">
        <f t="array" ref="B3">IFERROR(INDEX(Teams, SMALL(IF(Rink2 = $A$2, ROW(Rink2) - ROW(INDEX(Rink2,1,1))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G3" s="74"/>
      <c r="H3" s="102"/>
      <c r="I3" s="56" t="str">
        <f t="array" ref="I3">IFERROR(INDEX(Teams, SMALL(IF(Rink2 = $H$2, ROW(Rink2) - ROW(INDEX(Rink2,1,1))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52" t="str">
        <f t="array" ref="M3">IFERROR(INDEX(Against, MATCH(I3, Teams, 0)),"")</f>
        <v/>
      </c>
      <c r="N3" s="73"/>
      <c r="O3" t="b">
        <v>0</v>
      </c>
    </row>
    <row r="4" spans="1:15" ht="24" customHeight="1" thickTop="1" x14ac:dyDescent="0.25">
      <c r="A4" s="99">
        <v>2</v>
      </c>
      <c r="B4" s="57" t="str">
        <f t="array" ref="B4">IFERROR(INDEX(Teams, SMALL(IF(Rink2 = $A$4, ROW(Rink2) - ROW(INDEX(Rink2,1,1))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G4" s="74"/>
      <c r="H4" s="103">
        <v>10</v>
      </c>
      <c r="I4" s="57" t="str">
        <f t="array" ref="I4">IFERROR(INDEX(Teams, SMALL(IF(Rink2 = $H$4, ROW(Rink2) - ROW(INDEX(Rink2,1,1))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53" t="str">
        <f t="array" ref="M4">IFERROR(INDEX(Against, MATCH(I4, Teams, 0)),"")</f>
        <v/>
      </c>
      <c r="N4" s="73"/>
    </row>
    <row r="5" spans="1:15" ht="24" customHeight="1" thickBot="1" x14ac:dyDescent="0.3">
      <c r="A5" s="100"/>
      <c r="B5" s="58" t="str">
        <f t="array" ref="B5">IFERROR(INDEX(Teams, SMALL(IF(Rink2 = $A$4, ROW(Rink2) - ROW(INDEX(Rink2,1,1))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G5" s="74"/>
      <c r="H5" s="104"/>
      <c r="I5" s="58" t="str">
        <f t="array" ref="I5">IFERROR(INDEX(Teams, SMALL(IF(Rink2 = $H$4, ROW(Rink2) - ROW(INDEX(Rink2,1,1))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5" t="str">
        <f t="array" ref="M5">IFERROR(INDEX(Against, MATCH(I5, Teams, 0)),"")</f>
        <v/>
      </c>
      <c r="N5" s="73"/>
    </row>
    <row r="6" spans="1:15" ht="24" customHeight="1" thickTop="1" x14ac:dyDescent="0.25">
      <c r="A6" s="97">
        <v>3</v>
      </c>
      <c r="B6" s="55" t="str">
        <f t="array" ref="B6">IFERROR(INDEX(Teams, SMALL(IF(Rink2 = $A$6, ROW(Rink2) - ROW(INDEX(Rink2,1,1))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G6" s="74"/>
      <c r="H6" s="101">
        <v>11</v>
      </c>
      <c r="I6" s="55" t="str">
        <f t="array" ref="I6">IFERROR(INDEX(Teams, SMALL(IF(Rink2 = $H$6, ROW(Rink2) - ROW(INDEX(Rink2,1,1))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51" t="str">
        <f t="array" ref="M6">IFERROR(INDEX(Against, MATCH(I6, Teams, 0)),"")</f>
        <v/>
      </c>
      <c r="N6" s="73"/>
    </row>
    <row r="7" spans="1:15" ht="24" customHeight="1" thickBot="1" x14ac:dyDescent="0.3">
      <c r="A7" s="98"/>
      <c r="B7" s="56" t="str">
        <f t="array" ref="B7">IFERROR(INDEX(Teams, SMALL(IF(Rink2 = $A$6, ROW(Rink2) - ROW(INDEX(Rink2,1,1))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G7" s="74"/>
      <c r="H7" s="102"/>
      <c r="I7" s="56" t="str">
        <f t="array" ref="I7">IFERROR(INDEX(Teams, SMALL(IF(Rink2 = $H$6, ROW(Rink2) - ROW(INDEX(Rink2,1,1))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52" t="str">
        <f t="array" ref="M7">IFERROR(INDEX(Against, MATCH(I7, Teams, 0)),"")</f>
        <v/>
      </c>
      <c r="N7" s="73"/>
    </row>
    <row r="8" spans="1:15" ht="24" customHeight="1" thickTop="1" x14ac:dyDescent="0.25">
      <c r="A8" s="99">
        <v>4</v>
      </c>
      <c r="B8" s="57" t="str">
        <f t="array" ref="B8">IFERROR(INDEX(Teams, SMALL(IF(Rink2 = $A$8, ROW(Rink2) - ROW(INDEX(Rink2,1,1))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G8" s="74"/>
      <c r="H8" s="103">
        <v>12</v>
      </c>
      <c r="I8" s="57" t="str">
        <f t="array" ref="I8">IFERROR(INDEX(Teams, SMALL(IF(Rink2 = $H$8, ROW(Rink2) - ROW(INDEX(Rink2,1,1))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53" t="str">
        <f t="array" ref="M8">IFERROR(INDEX(Against, MATCH(I8, Teams, 0)),"")</f>
        <v/>
      </c>
      <c r="N8" s="73"/>
    </row>
    <row r="9" spans="1:15" ht="24" customHeight="1" thickBot="1" x14ac:dyDescent="0.3">
      <c r="A9" s="100"/>
      <c r="B9" s="58" t="str">
        <f t="array" ref="B9">IFERROR(INDEX(Teams, SMALL(IF(Rink2 = $A$8, ROW(Rink2) - ROW(INDEX(Rink2,1,1))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G9" s="74"/>
      <c r="H9" s="104"/>
      <c r="I9" s="58" t="str">
        <f t="array" ref="I9">IFERROR(INDEX(Teams, SMALL(IF(Rink2 = $H$8, ROW(Rink2) - ROW(INDEX(Rink2,1,1))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5" t="str">
        <f t="array" ref="M9">IFERROR(INDEX(Against, MATCH(I9, Teams, 0)),"")</f>
        <v/>
      </c>
      <c r="N9" s="73"/>
    </row>
    <row r="10" spans="1:15" ht="24" customHeight="1" thickTop="1" x14ac:dyDescent="0.25">
      <c r="A10" s="97">
        <v>5</v>
      </c>
      <c r="B10" s="55" t="str">
        <f t="array" ref="B10">IFERROR(INDEX(Teams, SMALL(IF(Rink2 = $A$10, ROW(Rink2) - ROW(INDEX(Rink2,1,1))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G10" s="74"/>
      <c r="H10" s="101">
        <v>13</v>
      </c>
      <c r="I10" s="55" t="str">
        <f t="array" ref="I10">IFERROR(INDEX(Teams, SMALL(IF(Rink2 = $H$10, ROW(Rink2) - ROW(INDEX(Rink2,1,1))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51" t="str">
        <f t="array" ref="M10">IFERROR(INDEX(Against, MATCH(I10, Teams, 0)),"")</f>
        <v/>
      </c>
      <c r="N10" s="73"/>
    </row>
    <row r="11" spans="1:15" ht="24" customHeight="1" thickBot="1" x14ac:dyDescent="0.3">
      <c r="A11" s="98"/>
      <c r="B11" s="56" t="str">
        <f t="array" ref="B11">IFERROR(INDEX(Teams, SMALL(IF(Rink2 = $A$10, ROW(Rink2) - ROW(INDEX(Rink2,1,1))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G11" s="74"/>
      <c r="H11" s="102"/>
      <c r="I11" s="56" t="str">
        <f t="array" ref="I11">IFERROR(INDEX(Teams, SMALL(IF(Rink2 = $H$10, ROW(Rink2) - ROW(INDEX(Rink2,1,1))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52" t="str">
        <f t="array" ref="M11">IFERROR(INDEX(Against, MATCH(I11, Teams, 0)),"")</f>
        <v/>
      </c>
      <c r="N11" s="73"/>
    </row>
    <row r="12" spans="1:15" ht="24" customHeight="1" thickTop="1" x14ac:dyDescent="0.25">
      <c r="A12" s="99">
        <v>6</v>
      </c>
      <c r="B12" s="57" t="str">
        <f t="array" ref="B12">IFERROR(INDEX(Teams, SMALL(IF(Rink2 = $A$12, ROW(Rink2) - ROW(INDEX(Rink2,1,1))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G12" s="74"/>
      <c r="H12" s="103">
        <v>14</v>
      </c>
      <c r="I12" s="57" t="str">
        <f t="array" ref="I12">IFERROR(INDEX(Teams, SMALL(IF(Rink2 = $H$12, ROW(Rink2) - ROW(INDEX(Rink2,1,1))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53" t="str">
        <f t="array" ref="M12">IFERROR(INDEX(Against, MATCH(I12, Teams, 0)),"")</f>
        <v/>
      </c>
      <c r="N12" s="73"/>
    </row>
    <row r="13" spans="1:15" ht="24" customHeight="1" thickBot="1" x14ac:dyDescent="0.3">
      <c r="A13" s="100"/>
      <c r="B13" s="58" t="str">
        <f t="array" ref="B13">IFERROR(INDEX(Teams, SMALL(IF(Rink2 = $A$12, ROW(Rink2) - ROW(INDEX(Rink2,1,1))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G13" s="74"/>
      <c r="H13" s="104"/>
      <c r="I13" s="58" t="str">
        <f t="array" ref="I13">IFERROR(INDEX(Teams, SMALL(IF(Rink2 = $H$12, ROW(Rink2) - ROW(INDEX(Rink2,1,1))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5" t="str">
        <f t="array" ref="M13">IFERROR(INDEX(Against, MATCH(I13, Teams, 0)),"")</f>
        <v/>
      </c>
      <c r="N13" s="73"/>
    </row>
    <row r="14" spans="1:15" ht="24" customHeight="1" thickTop="1" x14ac:dyDescent="0.25">
      <c r="A14" s="97">
        <v>7</v>
      </c>
      <c r="B14" s="55" t="str">
        <f t="array" ref="B14">IFERROR(INDEX(Teams, SMALL(IF(Rink2 = $A$14, ROW(Rink2) - ROW(INDEX(Rink2,1,1))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G14" s="74"/>
      <c r="H14" s="101">
        <v>15</v>
      </c>
      <c r="I14" s="55" t="str">
        <f t="array" ref="I14">IFERROR(INDEX(Teams, SMALL(IF(Rink2 = $H$14, ROW(Rink2) - ROW(INDEX(Rink2,1,1))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51" t="str">
        <f t="array" ref="M14">IFERROR(INDEX(Against, MATCH(I14, Teams, 0)),"")</f>
        <v/>
      </c>
      <c r="N14" s="73"/>
    </row>
    <row r="15" spans="1:15" ht="24" customHeight="1" thickBot="1" x14ac:dyDescent="0.3">
      <c r="A15" s="98"/>
      <c r="B15" s="56" t="str">
        <f t="array" ref="B15">IFERROR(INDEX(Teams, SMALL(IF(Rink2 = $A$14, ROW(Rink2) - ROW(INDEX(Rink2,1,1))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G15" s="74"/>
      <c r="H15" s="102"/>
      <c r="I15" s="56" t="str">
        <f t="array" ref="I15">IFERROR(INDEX(Teams, SMALL(IF(Rink2 = $H$14, ROW(Rink2) - ROW(INDEX(Rink2,1,1))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52" t="str">
        <f t="array" ref="M15">IFERROR(INDEX(Against, MATCH(I15, Teams, 0)),"")</f>
        <v/>
      </c>
      <c r="N15" s="73"/>
    </row>
    <row r="16" spans="1:15" ht="24" customHeight="1" thickTop="1" x14ac:dyDescent="0.25">
      <c r="A16" s="99">
        <v>8</v>
      </c>
      <c r="B16" s="57" t="str">
        <f t="array" ref="B16">IFERROR(INDEX(Teams, SMALL(IF(Rink2 = $A$16, ROW(Rink2) - ROW(INDEX(Rink2,1,1))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G16" s="74"/>
      <c r="H16" s="103">
        <v>16</v>
      </c>
      <c r="I16" s="57" t="str">
        <f t="array" ref="I16">IFERROR(INDEX(Teams, SMALL(IF(Rink2 = $H$16, ROW(Rink2) - ROW(INDEX(Rink2,1,1))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53" t="str">
        <f t="array" ref="M16">IFERROR(INDEX(Against, MATCH(I16, Teams, 0)),"")</f>
        <v/>
      </c>
      <c r="N16" s="73"/>
    </row>
    <row r="17" spans="1:14" ht="24" customHeight="1" thickBot="1" x14ac:dyDescent="0.3">
      <c r="A17" s="100"/>
      <c r="B17" s="58" t="str">
        <f t="array" ref="B17">IFERROR(INDEX(Teams, SMALL(IF(Rink2 = $A$16, ROW(Rink2) - ROW(INDEX(Rink2,1,1))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G17" s="74"/>
      <c r="H17" s="104"/>
      <c r="I17" s="58" t="str">
        <f t="array" ref="I17">IFERROR(INDEX(Teams, SMALL(IF(Rink2 = $H$16, ROW(Rink2) - ROW(INDEX(Rink2,1,1))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54" t="str">
        <f t="array" ref="M17">IFERROR(INDEX(Against, MATCH(I17, Teams, 0)),"")</f>
        <v/>
      </c>
      <c r="N17" s="73"/>
    </row>
    <row r="18" spans="1:14" ht="15.75" thickTop="1" x14ac:dyDescent="0.25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2:A3"/>
    <mergeCell ref="H2:H3"/>
    <mergeCell ref="A4:A5"/>
    <mergeCell ref="H4:H5"/>
    <mergeCell ref="A6:A7"/>
    <mergeCell ref="H6:H7"/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8"/>
  <sheetViews>
    <sheetView showGridLines="0" showRowColHeaders="0" workbookViewId="0">
      <selection activeCell="I15" sqref="I15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</cols>
  <sheetData>
    <row r="1" spans="1:14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4" ht="24" customHeight="1" thickTop="1" x14ac:dyDescent="0.25">
      <c r="A2" s="97">
        <v>1</v>
      </c>
      <c r="B2" s="55" t="str">
        <f t="array" ref="B2">IFERROR(INDEX(Teams, SMALL(IF(Rink3 = $A$2, ROW(Rink3) - ROW(INDEX(Rink3,1,1))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51" t="str">
        <f t="array" ref="F2">IFERROR(INDEX(Against, MATCH(B2, Teams, 0)),"")</f>
        <v/>
      </c>
      <c r="G2" s="74"/>
      <c r="H2" s="97">
        <v>9</v>
      </c>
      <c r="I2" s="55" t="str">
        <f t="array" ref="I2">IFERROR(INDEX(Teams, SMALL(IF(Rink3 = $H$2, ROW(Rink3) - ROW(INDEX(Rink3,1,1))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60" t="str">
        <f t="array" ref="M2">IFERROR(INDEX(Against, MATCH(I2, Teams, 0)),"")</f>
        <v/>
      </c>
      <c r="N2" s="73"/>
    </row>
    <row r="3" spans="1:14" ht="24" customHeight="1" thickBot="1" x14ac:dyDescent="0.3">
      <c r="A3" s="98"/>
      <c r="B3" s="56" t="str">
        <f t="array" ref="B3">IFERROR(INDEX(Teams, SMALL(IF(Rink3 = $A$2, ROW(Rink3) - ROW(INDEX(Rink3,1,1))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52" t="str">
        <f t="array" ref="F3">IFERROR(INDEX(Against, MATCH(B3, Teams, 0)),"")</f>
        <v/>
      </c>
      <c r="G3" s="74"/>
      <c r="H3" s="98"/>
      <c r="I3" s="56" t="str">
        <f t="array" ref="I3">IFERROR(INDEX(Teams, SMALL(IF(Rink3 = $H$2, ROW(Rink3) - ROW(INDEX(Rink3,1,1))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62" t="str">
        <f t="array" ref="M3">IFERROR(INDEX(Against, MATCH(I3, Teams, 0)),"")</f>
        <v/>
      </c>
      <c r="N3" s="73"/>
    </row>
    <row r="4" spans="1:14" ht="24" customHeight="1" thickTop="1" x14ac:dyDescent="0.25">
      <c r="A4" s="99">
        <v>2</v>
      </c>
      <c r="B4" s="57" t="str">
        <f t="array" ref="B4">IFERROR(INDEX(Teams, SMALL(IF(Rink3 = $A$4, ROW(Rink3) - ROW(INDEX(Rink3,1,1))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53" t="str">
        <f t="array" ref="F4">IFERROR(INDEX(Against, MATCH(B4, Teams, 0)),"")</f>
        <v/>
      </c>
      <c r="G4" s="74"/>
      <c r="H4" s="99">
        <v>10</v>
      </c>
      <c r="I4" s="57" t="str">
        <f t="array" ref="I4">IFERROR(INDEX(Teams, SMALL(IF(Rink3 = $H$4, ROW(Rink3) - ROW(INDEX(Rink3,1,1))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64" t="str">
        <f t="array" ref="M4">IFERROR(INDEX(Against, MATCH(I4, Teams, 0)),"")</f>
        <v/>
      </c>
      <c r="N4" s="73"/>
    </row>
    <row r="5" spans="1:14" ht="24" customHeight="1" thickBot="1" x14ac:dyDescent="0.3">
      <c r="A5" s="100"/>
      <c r="B5" s="58" t="str">
        <f t="array" ref="B5">IFERROR(INDEX(Teams, SMALL(IF(Rink3 = $A$4, ROW(Rink3) - ROW(INDEX(Rink3,1,1))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5" t="str">
        <f t="array" ref="F5">IFERROR(INDEX(Against, MATCH(B5, Teams, 0)),"")</f>
        <v/>
      </c>
      <c r="G5" s="74"/>
      <c r="H5" s="100"/>
      <c r="I5" s="58" t="str">
        <f t="array" ref="I5">IFERROR(INDEX(Teams, SMALL(IF(Rink3 = $H$4, ROW(Rink3) - ROW(INDEX(Rink3,1,1))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7" t="str">
        <f t="array" ref="M5">IFERROR(INDEX(Against, MATCH(I5, Teams, 0)),"")</f>
        <v/>
      </c>
      <c r="N5" s="73"/>
    </row>
    <row r="6" spans="1:14" ht="24" customHeight="1" thickTop="1" x14ac:dyDescent="0.25">
      <c r="A6" s="97">
        <v>3</v>
      </c>
      <c r="B6" s="55" t="str">
        <f t="array" ref="B6">IFERROR(INDEX(Teams, SMALL(IF(Rink3 = $A$6, ROW(Rink3) - ROW(INDEX(Rink3,1,1))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51" t="str">
        <f t="array" ref="F6">IFERROR(INDEX(Against, MATCH(B6, Teams, 0)),"")</f>
        <v/>
      </c>
      <c r="G6" s="74"/>
      <c r="H6" s="97">
        <v>11</v>
      </c>
      <c r="I6" s="55" t="str">
        <f t="array" ref="I6">IFERROR(INDEX(Teams, SMALL(IF(Rink3 = $H$6, ROW(Rink3) - ROW(INDEX(Rink3,1,1))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60" t="str">
        <f t="array" ref="M6">IFERROR(INDEX(Against, MATCH(I6, Teams, 0)),"")</f>
        <v/>
      </c>
      <c r="N6" s="73"/>
    </row>
    <row r="7" spans="1:14" ht="24" customHeight="1" thickBot="1" x14ac:dyDescent="0.3">
      <c r="A7" s="98"/>
      <c r="B7" s="56" t="str">
        <f t="array" ref="B7">IFERROR(INDEX(Teams, SMALL(IF(Rink3 = $A$6, ROW(Rink3) - ROW(INDEX(Rink3,1,1))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52" t="str">
        <f t="array" ref="F7">IFERROR(INDEX(Against, MATCH(B7, Teams, 0)),"")</f>
        <v/>
      </c>
      <c r="G7" s="74"/>
      <c r="H7" s="98"/>
      <c r="I7" s="56" t="str">
        <f t="array" ref="I7">IFERROR(INDEX(Teams, SMALL(IF(Rink3 = $H$6, ROW(Rink3) - ROW(INDEX(Rink3,1,1))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62" t="str">
        <f t="array" ref="M7">IFERROR(INDEX(Against, MATCH(I7, Teams, 0)),"")</f>
        <v/>
      </c>
      <c r="N7" s="73"/>
    </row>
    <row r="8" spans="1:14" ht="24" customHeight="1" thickTop="1" x14ac:dyDescent="0.25">
      <c r="A8" s="99">
        <v>4</v>
      </c>
      <c r="B8" s="57" t="str">
        <f t="array" ref="B8">IFERROR(INDEX(Teams, SMALL(IF(Rink3 = $A$8, ROW(Rink3) - ROW(INDEX(Rink3,1,1))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53" t="str">
        <f t="array" ref="F8">IFERROR(INDEX(Against, MATCH(B8, Teams, 0)),"")</f>
        <v/>
      </c>
      <c r="G8" s="74"/>
      <c r="H8" s="99">
        <v>12</v>
      </c>
      <c r="I8" s="57" t="str">
        <f t="array" ref="I8">IFERROR(INDEX(Teams, SMALL(IF(Rink3 = $H$8, ROW(Rink3) - ROW(INDEX(Rink3,1,1))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64" t="str">
        <f t="array" ref="M8">IFERROR(INDEX(Against, MATCH(I8, Teams, 0)),"")</f>
        <v/>
      </c>
      <c r="N8" s="73"/>
    </row>
    <row r="9" spans="1:14" ht="24" customHeight="1" thickBot="1" x14ac:dyDescent="0.3">
      <c r="A9" s="100"/>
      <c r="B9" s="58" t="str">
        <f t="array" ref="B9">IFERROR(INDEX(Teams, SMALL(IF(Rink3 = $A$8, ROW(Rink3) - ROW(INDEX(Rink3,1,1))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5" t="str">
        <f t="array" ref="F9">IFERROR(INDEX(Against, MATCH(B9, Teams, 0)),"")</f>
        <v/>
      </c>
      <c r="G9" s="74"/>
      <c r="H9" s="100"/>
      <c r="I9" s="58" t="str">
        <f t="array" ref="I9">IFERROR(INDEX(Teams, SMALL(IF(Rink3 = $H$8, ROW(Rink3) - ROW(INDEX(Rink3,1,1))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7" t="str">
        <f t="array" ref="M9">IFERROR(INDEX(Against, MATCH(I9, Teams, 0)),"")</f>
        <v/>
      </c>
      <c r="N9" s="73"/>
    </row>
    <row r="10" spans="1:14" ht="24" customHeight="1" thickTop="1" x14ac:dyDescent="0.25">
      <c r="A10" s="97">
        <v>5</v>
      </c>
      <c r="B10" s="55" t="str">
        <f t="array" ref="B10">IFERROR(INDEX(Teams, SMALL(IF(Rink3 = $A$10, ROW(Rink3) - ROW(INDEX(Rink3,1,1))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51" t="str">
        <f t="array" ref="F10">IFERROR(INDEX(Against, MATCH(B10, Teams, 0)),"")</f>
        <v/>
      </c>
      <c r="G10" s="74"/>
      <c r="H10" s="97">
        <v>13</v>
      </c>
      <c r="I10" s="55" t="str">
        <f t="array" ref="I10">IFERROR(INDEX(Teams, SMALL(IF(Rink3 = $H$10, ROW(Rink3) - ROW(INDEX(Rink3,1,1))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60" t="str">
        <f t="array" ref="M10">IFERROR(INDEX(Against, MATCH(I10, Teams, 0)),"")</f>
        <v/>
      </c>
      <c r="N10" s="73"/>
    </row>
    <row r="11" spans="1:14" ht="24" customHeight="1" thickBot="1" x14ac:dyDescent="0.3">
      <c r="A11" s="98"/>
      <c r="B11" s="56" t="str">
        <f t="array" ref="B11">IFERROR(INDEX(Teams, SMALL(IF(Rink3 = $A$10, ROW(Rink3) - ROW(INDEX(Rink3,1,1))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52" t="str">
        <f t="array" ref="F11">IFERROR(INDEX(Against, MATCH(B11, Teams, 0)),"")</f>
        <v/>
      </c>
      <c r="G11" s="74"/>
      <c r="H11" s="98"/>
      <c r="I11" s="56" t="str">
        <f t="array" ref="I11">IFERROR(INDEX(Teams, SMALL(IF(Rink3 = $H$10, ROW(Rink3) - ROW(INDEX(Rink3,1,1))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62" t="str">
        <f t="array" ref="M11">IFERROR(INDEX(Against, MATCH(I11, Teams, 0)),"")</f>
        <v/>
      </c>
      <c r="N11" s="73"/>
    </row>
    <row r="12" spans="1:14" ht="24" customHeight="1" thickTop="1" x14ac:dyDescent="0.25">
      <c r="A12" s="99">
        <v>6</v>
      </c>
      <c r="B12" s="57" t="str">
        <f t="array" ref="B12">IFERROR(INDEX(Teams, SMALL(IF(Rink3 = $A$12, ROW(Rink3) - ROW(INDEX(Rink3,1,1))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53" t="str">
        <f t="array" ref="F12">IFERROR(INDEX(Against, MATCH(B12, Teams, 0)),"")</f>
        <v/>
      </c>
      <c r="G12" s="74"/>
      <c r="H12" s="99">
        <v>14</v>
      </c>
      <c r="I12" s="57" t="str">
        <f t="array" ref="I12">IFERROR(INDEX(Teams, SMALL(IF(Rink3 = $H$12, ROW(Rink3) - ROW(INDEX(Rink3,1,1))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64" t="str">
        <f t="array" ref="M12">IFERROR(INDEX(Against, MATCH(I12, Teams, 0)),"")</f>
        <v/>
      </c>
      <c r="N12" s="73"/>
    </row>
    <row r="13" spans="1:14" ht="24" customHeight="1" thickBot="1" x14ac:dyDescent="0.3">
      <c r="A13" s="100"/>
      <c r="B13" s="58" t="str">
        <f t="array" ref="B13">IFERROR(INDEX(Teams, SMALL(IF(Rink3 = $A$12, ROW(Rink3) - ROW(INDEX(Rink3,1,1))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5" t="str">
        <f t="array" ref="F13">IFERROR(INDEX(Against, MATCH(B13, Teams, 0)),"")</f>
        <v/>
      </c>
      <c r="G13" s="74"/>
      <c r="H13" s="100"/>
      <c r="I13" s="58" t="str">
        <f t="array" ref="I13">IFERROR(INDEX(Teams, SMALL(IF(Rink3 = $H$12, ROW(Rink3) - ROW(INDEX(Rink3,1,1))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7" t="str">
        <f t="array" ref="M13">IFERROR(INDEX(Against, MATCH(I13, Teams, 0)),"")</f>
        <v/>
      </c>
      <c r="N13" s="73"/>
    </row>
    <row r="14" spans="1:14" ht="24" customHeight="1" thickTop="1" x14ac:dyDescent="0.25">
      <c r="A14" s="97">
        <v>7</v>
      </c>
      <c r="B14" s="55" t="str">
        <f t="array" ref="B14">IFERROR(INDEX(Teams, SMALL(IF(Rink3 = $A$14, ROW(Rink3) - ROW(INDEX(Rink3,1,1))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51" t="str">
        <f t="array" ref="F14">IFERROR(INDEX(Against, MATCH(B14, Teams, 0)),"")</f>
        <v/>
      </c>
      <c r="G14" s="74"/>
      <c r="H14" s="97">
        <v>15</v>
      </c>
      <c r="I14" s="55" t="str">
        <f t="array" ref="I14">IFERROR(INDEX(Teams, SMALL(IF(Rink3 = $H$14, ROW(Rink3) - ROW(INDEX(Rink3,1,1))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60" t="str">
        <f t="array" ref="M14">IFERROR(INDEX(Against, MATCH(I14, Teams, 0)),"")</f>
        <v/>
      </c>
      <c r="N14" s="73"/>
    </row>
    <row r="15" spans="1:14" ht="24" customHeight="1" thickBot="1" x14ac:dyDescent="0.3">
      <c r="A15" s="98"/>
      <c r="B15" s="56" t="str">
        <f t="array" ref="B15">IFERROR(INDEX(Teams, SMALL(IF(Rink3 = $A$14, ROW(Rink3) - ROW(INDEX(Rink3,1,1))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52" t="str">
        <f t="array" ref="F15">IFERROR(INDEX(Against, MATCH(B15, Teams, 0)),"")</f>
        <v/>
      </c>
      <c r="G15" s="74"/>
      <c r="H15" s="98"/>
      <c r="I15" s="56" t="str">
        <f t="array" ref="I15">IFERROR(INDEX(Teams, SMALL(IF(Rink3 = $H$14, ROW(Rink3) - ROW(INDEX(Rink3,1,1))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62" t="str">
        <f t="array" ref="M15">IFERROR(INDEX(Against, MATCH(I15, Teams, 0)),"")</f>
        <v/>
      </c>
      <c r="N15" s="73"/>
    </row>
    <row r="16" spans="1:14" ht="24" customHeight="1" thickTop="1" x14ac:dyDescent="0.25">
      <c r="A16" s="99">
        <v>8</v>
      </c>
      <c r="B16" s="57" t="str">
        <f t="array" ref="B16">IFERROR(INDEX(Teams, SMALL(IF(Rink3 = $A$16, ROW(Rink3) - ROW(INDEX(Rink3,1,1))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53" t="str">
        <f t="array" ref="F16">IFERROR(INDEX(Against, MATCH(B16, Teams, 0)),"")</f>
        <v/>
      </c>
      <c r="G16" s="74"/>
      <c r="H16" s="99">
        <v>16</v>
      </c>
      <c r="I16" s="57" t="str">
        <f t="array" ref="I16">IFERROR(INDEX(Teams, SMALL(IF(Rink3 = $H$16, ROW(Rink3) - ROW(INDEX(Rink3,1,1))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64" t="str">
        <f t="array" ref="M16">IFERROR(INDEX(Against, MATCH(I16, Teams, 0)),"")</f>
        <v/>
      </c>
      <c r="N16" s="73"/>
    </row>
    <row r="17" spans="1:14" ht="24" customHeight="1" thickBot="1" x14ac:dyDescent="0.3">
      <c r="A17" s="100"/>
      <c r="B17" s="58" t="str">
        <f t="array" ref="B17">IFERROR(INDEX(Teams, SMALL(IF(Rink3 = $A$16, ROW(Rink3) - ROW(INDEX(Rink3,1,1))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54" t="str">
        <f t="array" ref="F17">IFERROR(INDEX(Against, MATCH(B17, Teams, 0)),"")</f>
        <v/>
      </c>
      <c r="G17" s="74"/>
      <c r="H17" s="100"/>
      <c r="I17" s="58" t="str">
        <f t="array" ref="I17">IFERROR(INDEX(Teams, SMALL(IF(Rink3 = $H$16, ROW(Rink3) - ROW(INDEX(Rink3,1,1))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69" t="str">
        <f t="array" ref="M17">IFERROR(INDEX(Against, MATCH(I17, Teams, 0)),"")</f>
        <v/>
      </c>
      <c r="N17" s="73"/>
    </row>
    <row r="18" spans="1:14" ht="15.75" thickTop="1" x14ac:dyDescent="0.25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2:A3"/>
    <mergeCell ref="H2:H3"/>
    <mergeCell ref="A4:A5"/>
    <mergeCell ref="H4:H5"/>
    <mergeCell ref="A6:A7"/>
    <mergeCell ref="H6:H7"/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Instructions</vt:lpstr>
      <vt:lpstr>Wins-For-Plus-Against</vt:lpstr>
      <vt:lpstr>Game 1 Draw</vt:lpstr>
      <vt:lpstr>Game 2 Draw</vt:lpstr>
      <vt:lpstr>Game 3 Draw</vt:lpstr>
      <vt:lpstr>Against</vt:lpstr>
      <vt:lpstr>For</vt:lpstr>
      <vt:lpstr>Plus</vt:lpstr>
      <vt:lpstr>Rink1</vt:lpstr>
      <vt:lpstr>Rink2</vt:lpstr>
      <vt:lpstr>Rink3</vt:lpstr>
      <vt:lpstr>Teams</vt:lpstr>
      <vt:lpstr>Wins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Montgomery, Neil</cp:lastModifiedBy>
  <cp:lastPrinted>2017-07-28T13:56:28Z</cp:lastPrinted>
  <dcterms:created xsi:type="dcterms:W3CDTF">2016-08-13T21:11:38Z</dcterms:created>
  <dcterms:modified xsi:type="dcterms:W3CDTF">2018-10-01T21:02:54Z</dcterms:modified>
</cp:coreProperties>
</file>